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aem\Downloads\2026_1230_재건축랭커\(26_0527)_한신씨_MVP_PRD요청용\"/>
    </mc:Choice>
  </mc:AlternateContent>
  <xr:revisionPtr revIDLastSave="0" documentId="8_{70162AF5-F772-4CA2-8FC9-662BC433CFBE}" xr6:coauthVersionLast="47" xr6:coauthVersionMax="47" xr10:uidLastSave="{00000000-0000-0000-0000-000000000000}"/>
  <bookViews>
    <workbookView xWindow="-28920" yWindow="18660" windowWidth="29040" windowHeight="15720" xr2:uid="{C8879430-B25D-4E67-949F-B365633A7192}"/>
  </bookViews>
  <sheets>
    <sheet name="DB_(0527)" sheetId="5" r:id="rId1"/>
    <sheet name="최초" sheetId="1" r:id="rId2"/>
    <sheet name="1_압구정3" sheetId="2" r:id="rId3"/>
    <sheet name="2_신반포2" sheetId="3" r:id="rId4"/>
    <sheet name="3_목동6" sheetId="4" r:id="rId5"/>
    <sheet name="4_여의도시범" sheetId="6" r:id="rId6"/>
    <sheet name="5_대치은마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Z21" i="5" l="1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21" i="5"/>
  <c r="AH24" i="5"/>
  <c r="AT43" i="5"/>
  <c r="AT52" i="5"/>
  <c r="AT58" i="5"/>
  <c r="AT63" i="5"/>
  <c r="CR65" i="5"/>
  <c r="CO65" i="5"/>
  <c r="CK65" i="5"/>
  <c r="CJ65" i="5"/>
  <c r="CH65" i="5"/>
  <c r="BO65" i="5"/>
  <c r="CB65" i="5" s="1"/>
  <c r="CC65" i="5" s="1"/>
  <c r="BG65" i="5"/>
  <c r="BH65" i="5" s="1"/>
  <c r="AQ65" i="5"/>
  <c r="AT65" i="5" s="1"/>
  <c r="W65" i="5"/>
  <c r="X65" i="5" s="1"/>
  <c r="S65" i="5"/>
  <c r="L65" i="5"/>
  <c r="AH65" i="5" s="1"/>
  <c r="W64" i="5"/>
  <c r="X64" i="5" s="1"/>
  <c r="CO64" i="5"/>
  <c r="BX65" i="5" l="1"/>
  <c r="BY65" i="5" s="1"/>
  <c r="CP65" i="5"/>
  <c r="M65" i="5" s="1"/>
  <c r="CQ65" i="5"/>
  <c r="BJ65" i="5"/>
  <c r="T65" i="5" s="1"/>
  <c r="Q65" i="5" s="1"/>
  <c r="CS65" i="5"/>
  <c r="BP65" i="5"/>
  <c r="BT65" i="5"/>
  <c r="CU65" i="5"/>
  <c r="BU65" i="5" l="1"/>
  <c r="R65" i="5"/>
  <c r="P65" i="5" s="1"/>
  <c r="CT65" i="5" l="1"/>
  <c r="CV65" i="5" s="1"/>
  <c r="CW65" i="5" s="1"/>
  <c r="CA65" i="5" s="1"/>
  <c r="CZ65" i="5" s="1"/>
  <c r="BO64" i="5"/>
  <c r="CB64" i="5" s="1"/>
  <c r="CC64" i="5" s="1"/>
  <c r="L64" i="5"/>
  <c r="CS64" i="5" s="1"/>
  <c r="CR64" i="5"/>
  <c r="CK64" i="5"/>
  <c r="CJ64" i="5"/>
  <c r="CH64" i="5"/>
  <c r="CP64" i="5" s="1"/>
  <c r="M64" i="5" s="1"/>
  <c r="BT64" i="5"/>
  <c r="BU64" i="5" s="1"/>
  <c r="BP64" i="5"/>
  <c r="BG64" i="5"/>
  <c r="BH64" i="5" s="1"/>
  <c r="AQ64" i="5"/>
  <c r="AT64" i="5" s="1"/>
  <c r="S64" i="5"/>
  <c r="DB20" i="5"/>
  <c r="CZ20" i="5"/>
  <c r="CS20" i="5"/>
  <c r="CR20" i="5"/>
  <c r="H159" i="7"/>
  <c r="AB157" i="7"/>
  <c r="AC157" i="7" s="1"/>
  <c r="AD157" i="7" s="1"/>
  <c r="O156" i="7"/>
  <c r="D141" i="7"/>
  <c r="C141" i="7"/>
  <c r="E141" i="7" s="1"/>
  <c r="F130" i="7"/>
  <c r="G129" i="7"/>
  <c r="H129" i="7" s="1"/>
  <c r="H128" i="7"/>
  <c r="G128" i="7"/>
  <c r="F126" i="7"/>
  <c r="G125" i="7"/>
  <c r="H125" i="7" s="1"/>
  <c r="F124" i="7"/>
  <c r="H122" i="7"/>
  <c r="I122" i="7" s="1"/>
  <c r="F122" i="7"/>
  <c r="I121" i="7"/>
  <c r="H121" i="7"/>
  <c r="F121" i="7"/>
  <c r="H119" i="7"/>
  <c r="I119" i="7" s="1"/>
  <c r="F119" i="7"/>
  <c r="H118" i="7"/>
  <c r="I118" i="7" s="1"/>
  <c r="F118" i="7"/>
  <c r="E105" i="7"/>
  <c r="D105" i="7"/>
  <c r="C105" i="7"/>
  <c r="F105" i="7" s="1"/>
  <c r="G99" i="7"/>
  <c r="E99" i="7" s="1"/>
  <c r="D99" i="7"/>
  <c r="K95" i="7"/>
  <c r="E145" i="7" s="1"/>
  <c r="H90" i="7"/>
  <c r="K89" i="7"/>
  <c r="K88" i="7"/>
  <c r="K93" i="7" s="1"/>
  <c r="K94" i="7" s="1"/>
  <c r="J79" i="7"/>
  <c r="J78" i="7"/>
  <c r="J77" i="7"/>
  <c r="I73" i="7"/>
  <c r="H64" i="7"/>
  <c r="H63" i="7"/>
  <c r="I63" i="7" s="1"/>
  <c r="F63" i="7"/>
  <c r="F128" i="7" s="1"/>
  <c r="I128" i="7" s="1"/>
  <c r="G60" i="7"/>
  <c r="G61" i="7" s="1"/>
  <c r="F60" i="7"/>
  <c r="I57" i="7"/>
  <c r="H57" i="7"/>
  <c r="H56" i="7"/>
  <c r="I56" i="7" s="1"/>
  <c r="H54" i="7"/>
  <c r="I54" i="7" s="1"/>
  <c r="H53" i="7"/>
  <c r="I53" i="7" s="1"/>
  <c r="E44" i="7"/>
  <c r="G44" i="7" s="1"/>
  <c r="E43" i="7"/>
  <c r="G43" i="7" s="1"/>
  <c r="E42" i="7"/>
  <c r="G42" i="7" s="1"/>
  <c r="E41" i="7"/>
  <c r="G41" i="7" s="1"/>
  <c r="G40" i="7"/>
  <c r="E40" i="7"/>
  <c r="E39" i="7"/>
  <c r="G39" i="7" s="1"/>
  <c r="E38" i="7"/>
  <c r="G38" i="7" s="1"/>
  <c r="G37" i="7"/>
  <c r="E28" i="7"/>
  <c r="E27" i="7"/>
  <c r="E26" i="7"/>
  <c r="E29" i="7" s="1"/>
  <c r="E17" i="7"/>
  <c r="E18" i="7" s="1"/>
  <c r="H18" i="7" s="1"/>
  <c r="E10" i="7"/>
  <c r="AH64" i="5" l="1"/>
  <c r="DA65" i="5"/>
  <c r="K65" i="5" s="1"/>
  <c r="DB65" i="5"/>
  <c r="CY65" i="5"/>
  <c r="I65" i="5" s="1"/>
  <c r="H65" i="5" s="1"/>
  <c r="AJ65" i="5" s="1"/>
  <c r="AZ65" i="5" s="1"/>
  <c r="AU65" i="5" s="1"/>
  <c r="AV65" i="5" s="1"/>
  <c r="BB65" i="5" s="1"/>
  <c r="BJ64" i="5"/>
  <c r="T64" i="5" s="1"/>
  <c r="Q64" i="5" s="1"/>
  <c r="R64" i="5" s="1"/>
  <c r="BX64" i="5"/>
  <c r="BY64" i="5" s="1"/>
  <c r="CU64" i="5" s="1"/>
  <c r="CQ64" i="5"/>
  <c r="CT64" i="5"/>
  <c r="F99" i="7"/>
  <c r="F100" i="7" s="1"/>
  <c r="E101" i="7"/>
  <c r="F141" i="7"/>
  <c r="G141" i="7"/>
  <c r="D145" i="7" s="1"/>
  <c r="O157" i="7"/>
  <c r="F125" i="7"/>
  <c r="F132" i="7" s="1"/>
  <c r="F64" i="7"/>
  <c r="F129" i="7" s="1"/>
  <c r="I129" i="7" s="1"/>
  <c r="H60" i="7"/>
  <c r="I60" i="7" s="1"/>
  <c r="G126" i="7"/>
  <c r="P64" i="5" l="1"/>
  <c r="CV64" i="5"/>
  <c r="CW64" i="5" s="1"/>
  <c r="CA64" i="5" s="1"/>
  <c r="I64" i="7"/>
  <c r="I71" i="7" s="1"/>
  <c r="I72" i="7" s="1"/>
  <c r="I61" i="7" s="1"/>
  <c r="H61" i="7" s="1"/>
  <c r="E61" i="7" s="1"/>
  <c r="F67" i="7"/>
  <c r="I125" i="7"/>
  <c r="DA64" i="5" l="1"/>
  <c r="K64" i="5" s="1"/>
  <c r="CZ64" i="5"/>
  <c r="CY64" i="5"/>
  <c r="I64" i="5" s="1"/>
  <c r="H64" i="5" s="1"/>
  <c r="AJ64" i="5" s="1"/>
  <c r="AZ64" i="5" s="1"/>
  <c r="AU64" i="5" s="1"/>
  <c r="AV64" i="5" s="1"/>
  <c r="BB64" i="5" s="1"/>
  <c r="DB64" i="5"/>
  <c r="D61" i="7"/>
  <c r="D126" i="7" s="1"/>
  <c r="E126" i="7"/>
  <c r="H126" i="7" s="1"/>
  <c r="I126" i="7" s="1"/>
  <c r="I137" i="7" s="1"/>
  <c r="C145" i="7" s="1"/>
  <c r="F145" i="7" s="1"/>
  <c r="M158" i="7" l="1"/>
  <c r="Q158" i="7" s="1"/>
  <c r="V158" i="7" s="1"/>
  <c r="X158" i="7" s="1"/>
  <c r="M157" i="7"/>
  <c r="Q157" i="7" s="1"/>
  <c r="V157" i="7" s="1"/>
  <c r="X157" i="7" s="1"/>
  <c r="Y157" i="7" s="1"/>
  <c r="AQ62" i="5"/>
  <c r="AT62" i="5" s="1"/>
  <c r="AH62" i="5"/>
  <c r="AQ61" i="5"/>
  <c r="AT61" i="5" s="1"/>
  <c r="AH61" i="5"/>
  <c r="AQ60" i="5"/>
  <c r="AT60" i="5" s="1"/>
  <c r="AH60" i="5"/>
  <c r="CS62" i="5"/>
  <c r="CR62" i="5"/>
  <c r="CO62" i="5"/>
  <c r="CK62" i="5"/>
  <c r="CJ62" i="5"/>
  <c r="CH62" i="5"/>
  <c r="CP62" i="5" s="1"/>
  <c r="M62" i="5" s="1"/>
  <c r="CB62" i="5"/>
  <c r="CC62" i="5" s="1"/>
  <c r="BX62" i="5"/>
  <c r="BY62" i="5" s="1"/>
  <c r="BT62" i="5"/>
  <c r="BP62" i="5"/>
  <c r="BG62" i="5"/>
  <c r="BH62" i="5" s="1"/>
  <c r="X62" i="5"/>
  <c r="W62" i="5" s="1"/>
  <c r="S62" i="5"/>
  <c r="CS61" i="5"/>
  <c r="CR61" i="5"/>
  <c r="CO61" i="5"/>
  <c r="CK61" i="5"/>
  <c r="CJ61" i="5"/>
  <c r="CH61" i="5"/>
  <c r="CP61" i="5" s="1"/>
  <c r="M61" i="5" s="1"/>
  <c r="CB61" i="5"/>
  <c r="CC61" i="5" s="1"/>
  <c r="BX61" i="5"/>
  <c r="BY61" i="5" s="1"/>
  <c r="BT61" i="5"/>
  <c r="BP61" i="5"/>
  <c r="BG61" i="5"/>
  <c r="BJ61" i="5" s="1"/>
  <c r="T61" i="5" s="1"/>
  <c r="Q61" i="5" s="1"/>
  <c r="X61" i="5"/>
  <c r="W61" i="5"/>
  <c r="S61" i="5"/>
  <c r="CS60" i="5"/>
  <c r="CR60" i="5"/>
  <c r="CO60" i="5"/>
  <c r="CK60" i="5"/>
  <c r="CJ60" i="5"/>
  <c r="CH60" i="5"/>
  <c r="CP60" i="5" s="1"/>
  <c r="M60" i="5" s="1"/>
  <c r="CB60" i="5"/>
  <c r="CC60" i="5" s="1"/>
  <c r="BX60" i="5"/>
  <c r="BY60" i="5" s="1"/>
  <c r="BT60" i="5"/>
  <c r="BP60" i="5"/>
  <c r="BG60" i="5"/>
  <c r="BJ60" i="5" s="1"/>
  <c r="T60" i="5" s="1"/>
  <c r="Q60" i="5" s="1"/>
  <c r="X60" i="5"/>
  <c r="W60" i="5" s="1"/>
  <c r="S60" i="5"/>
  <c r="BG59" i="5"/>
  <c r="BJ59" i="5" s="1"/>
  <c r="T59" i="5" s="1"/>
  <c r="Q59" i="5" s="1"/>
  <c r="X59" i="5"/>
  <c r="W59" i="5" s="1"/>
  <c r="H102" i="6"/>
  <c r="F102" i="6"/>
  <c r="BT59" i="5"/>
  <c r="BU59" i="5" s="1"/>
  <c r="CO59" i="5"/>
  <c r="CK59" i="5"/>
  <c r="CJ59" i="5"/>
  <c r="CH59" i="5"/>
  <c r="CP59" i="5" s="1"/>
  <c r="M59" i="5" s="1"/>
  <c r="CB59" i="5"/>
  <c r="CC59" i="5" s="1"/>
  <c r="BX59" i="5"/>
  <c r="BY59" i="5" s="1"/>
  <c r="DB19" i="5"/>
  <c r="CZ19" i="5"/>
  <c r="CS19" i="5"/>
  <c r="CR19" i="5"/>
  <c r="BP59" i="5"/>
  <c r="CS59" i="5"/>
  <c r="AQ59" i="5"/>
  <c r="AT59" i="5" s="1"/>
  <c r="S59" i="5"/>
  <c r="AB133" i="6"/>
  <c r="AC133" i="6" s="1"/>
  <c r="O132" i="6"/>
  <c r="C117" i="6"/>
  <c r="K111" i="6"/>
  <c r="F109" i="6"/>
  <c r="J109" i="6" s="1"/>
  <c r="F108" i="6"/>
  <c r="J108" i="6" s="1"/>
  <c r="G106" i="6"/>
  <c r="F106" i="6"/>
  <c r="G105" i="6"/>
  <c r="G100" i="6"/>
  <c r="G101" i="6" s="1"/>
  <c r="F100" i="6"/>
  <c r="D86" i="6"/>
  <c r="C86" i="6"/>
  <c r="G80" i="6"/>
  <c r="E80" i="6"/>
  <c r="F80" i="6" s="1"/>
  <c r="F81" i="6" s="1"/>
  <c r="K75" i="6"/>
  <c r="E121" i="6" s="1"/>
  <c r="K68" i="6"/>
  <c r="K67" i="6"/>
  <c r="K66" i="6"/>
  <c r="K65" i="6"/>
  <c r="K73" i="6" s="1"/>
  <c r="K74" i="6" s="1"/>
  <c r="I57" i="6"/>
  <c r="K53" i="6"/>
  <c r="K51" i="6"/>
  <c r="J51" i="6"/>
  <c r="K50" i="6"/>
  <c r="J50" i="6"/>
  <c r="J48" i="6"/>
  <c r="K48" i="6" s="1"/>
  <c r="J47" i="6"/>
  <c r="E44" i="6"/>
  <c r="E102" i="6" s="1"/>
  <c r="E106" i="6" s="1"/>
  <c r="E109" i="6" s="1"/>
  <c r="H109" i="6" s="1"/>
  <c r="I109" i="6" s="1"/>
  <c r="AL42" i="6"/>
  <c r="AM42" i="6" s="1"/>
  <c r="AL41" i="6"/>
  <c r="AM41" i="6" s="1"/>
  <c r="AL40" i="6"/>
  <c r="AM40" i="6" s="1"/>
  <c r="AL39" i="6"/>
  <c r="AM39" i="6" s="1"/>
  <c r="AL38" i="6"/>
  <c r="AL37" i="6"/>
  <c r="AM37" i="6" s="1"/>
  <c r="AO36" i="6"/>
  <c r="AM36" i="6"/>
  <c r="E28" i="6"/>
  <c r="E29" i="6" s="1"/>
  <c r="E17" i="6"/>
  <c r="E10" i="6"/>
  <c r="CQ62" i="5" l="1"/>
  <c r="CQ60" i="5"/>
  <c r="CQ61" i="5"/>
  <c r="CU62" i="5"/>
  <c r="BJ62" i="5"/>
  <c r="T62" i="5" s="1"/>
  <c r="Q62" i="5" s="1"/>
  <c r="BU62" i="5"/>
  <c r="CT62" i="5"/>
  <c r="CV62" i="5" s="1"/>
  <c r="CW62" i="5" s="1"/>
  <c r="CA62" i="5" s="1"/>
  <c r="R61" i="5"/>
  <c r="P61" i="5" s="1"/>
  <c r="BH61" i="5"/>
  <c r="CU61" i="5"/>
  <c r="BU61" i="5"/>
  <c r="R60" i="5"/>
  <c r="P60" i="5" s="1"/>
  <c r="CU60" i="5"/>
  <c r="BH60" i="5"/>
  <c r="BU60" i="5"/>
  <c r="BH59" i="5"/>
  <c r="CQ59" i="5"/>
  <c r="CR59" i="5"/>
  <c r="R59" i="5"/>
  <c r="P59" i="5" s="1"/>
  <c r="AH59" i="5"/>
  <c r="K108" i="6"/>
  <c r="J105" i="6"/>
  <c r="H106" i="6"/>
  <c r="I106" i="6" s="1"/>
  <c r="K109" i="6"/>
  <c r="J106" i="6"/>
  <c r="K106" i="6" s="1"/>
  <c r="E48" i="6"/>
  <c r="E43" i="6"/>
  <c r="F43" i="6"/>
  <c r="E86" i="6"/>
  <c r="F86" i="6" s="1"/>
  <c r="J43" i="6"/>
  <c r="DB62" i="5" l="1"/>
  <c r="DA62" i="5"/>
  <c r="K62" i="5" s="1"/>
  <c r="R62" i="5"/>
  <c r="P62" i="5"/>
  <c r="CY62" i="5"/>
  <c r="I62" i="5" s="1"/>
  <c r="H62" i="5" s="1"/>
  <c r="CZ62" i="5"/>
  <c r="CT61" i="5"/>
  <c r="CV61" i="5" s="1"/>
  <c r="CW61" i="5" s="1"/>
  <c r="CA61" i="5" s="1"/>
  <c r="CT60" i="5"/>
  <c r="CV60" i="5" s="1"/>
  <c r="CW60" i="5" s="1"/>
  <c r="CA60" i="5" s="1"/>
  <c r="CZ60" i="5" s="1"/>
  <c r="CT59" i="5"/>
  <c r="CU59" i="5"/>
  <c r="F101" i="6"/>
  <c r="F47" i="6"/>
  <c r="J101" i="6"/>
  <c r="E101" i="6"/>
  <c r="E47" i="6"/>
  <c r="H43" i="6"/>
  <c r="I43" i="6" s="1"/>
  <c r="H48" i="6"/>
  <c r="I48" i="6" s="1"/>
  <c r="E51" i="6"/>
  <c r="H51" i="6" s="1"/>
  <c r="I51" i="6" s="1"/>
  <c r="K43" i="6"/>
  <c r="AJ62" i="5" l="1"/>
  <c r="AZ62" i="5" s="1"/>
  <c r="AU62" i="5" s="1"/>
  <c r="AV62" i="5" s="1"/>
  <c r="BB62" i="5" s="1"/>
  <c r="DB61" i="5"/>
  <c r="DA61" i="5"/>
  <c r="K61" i="5" s="1"/>
  <c r="CY61" i="5"/>
  <c r="I61" i="5" s="1"/>
  <c r="H61" i="5" s="1"/>
  <c r="CZ61" i="5"/>
  <c r="DA60" i="5"/>
  <c r="K60" i="5" s="1"/>
  <c r="DB60" i="5"/>
  <c r="CY60" i="5"/>
  <c r="I60" i="5" s="1"/>
  <c r="H60" i="5" s="1"/>
  <c r="CV59" i="5"/>
  <c r="CW59" i="5" s="1"/>
  <c r="CA59" i="5" s="1"/>
  <c r="H47" i="6"/>
  <c r="I47" i="6" s="1"/>
  <c r="I55" i="6" s="1"/>
  <c r="I56" i="6" s="1"/>
  <c r="I42" i="6" s="1"/>
  <c r="H42" i="6" s="1"/>
  <c r="E42" i="6" s="1"/>
  <c r="E50" i="6"/>
  <c r="H50" i="6" s="1"/>
  <c r="I50" i="6" s="1"/>
  <c r="E105" i="6"/>
  <c r="H101" i="6"/>
  <c r="AD133" i="6"/>
  <c r="K101" i="6"/>
  <c r="F105" i="6"/>
  <c r="K105" i="6" s="1"/>
  <c r="K47" i="6"/>
  <c r="AJ61" i="5" l="1"/>
  <c r="AZ61" i="5" s="1"/>
  <c r="AU61" i="5" s="1"/>
  <c r="AV61" i="5" s="1"/>
  <c r="BB61" i="5" s="1"/>
  <c r="AJ60" i="5"/>
  <c r="AZ60" i="5" s="1"/>
  <c r="AU60" i="5" s="1"/>
  <c r="AV60" i="5" s="1"/>
  <c r="BB60" i="5" s="1"/>
  <c r="DA59" i="5"/>
  <c r="K59" i="5" s="1"/>
  <c r="CY59" i="5"/>
  <c r="I59" i="5" s="1"/>
  <c r="H59" i="5" s="1"/>
  <c r="AJ59" i="5" s="1"/>
  <c r="AZ59" i="5" s="1"/>
  <c r="AU59" i="5" s="1"/>
  <c r="AV59" i="5" s="1"/>
  <c r="BB59" i="5" s="1"/>
  <c r="DB59" i="5"/>
  <c r="CZ59" i="5"/>
  <c r="D42" i="6"/>
  <c r="E100" i="6"/>
  <c r="H100" i="6" s="1"/>
  <c r="I100" i="6" s="1"/>
  <c r="I113" i="6" s="1"/>
  <c r="C121" i="6" s="1"/>
  <c r="O133" i="6"/>
  <c r="I101" i="6"/>
  <c r="E108" i="6"/>
  <c r="H108" i="6" s="1"/>
  <c r="I108" i="6" s="1"/>
  <c r="H105" i="6"/>
  <c r="I105" i="6" s="1"/>
  <c r="D100" i="6" l="1"/>
  <c r="J100" i="6" s="1"/>
  <c r="K100" i="6" s="1"/>
  <c r="J42" i="6"/>
  <c r="K42" i="6" s="1"/>
  <c r="K58" i="6" s="1"/>
  <c r="E19" i="6" l="1"/>
  <c r="E18" i="6" s="1"/>
  <c r="D80" i="6"/>
  <c r="D117" i="6" l="1"/>
  <c r="E117" i="6" s="1"/>
  <c r="E82" i="6"/>
  <c r="F117" i="6" l="1"/>
  <c r="G117" i="6" s="1"/>
  <c r="D121" i="6" s="1"/>
  <c r="F121" i="6" s="1"/>
  <c r="AH22" i="5"/>
  <c r="AH23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21" i="5"/>
  <c r="FD57" i="5"/>
  <c r="FE57" i="5" s="1"/>
  <c r="J57" i="5" s="1"/>
  <c r="I57" i="5" s="1"/>
  <c r="EI57" i="5"/>
  <c r="EJ57" i="5" s="1"/>
  <c r="L57" i="5" s="1"/>
  <c r="K57" i="5" s="1"/>
  <c r="BJ57" i="5"/>
  <c r="T57" i="5" s="1"/>
  <c r="Q57" i="5" s="1"/>
  <c r="BI57" i="5"/>
  <c r="S57" i="5" s="1"/>
  <c r="BF57" i="5"/>
  <c r="AQ57" i="5"/>
  <c r="AT57" i="5" s="1"/>
  <c r="AO57" i="5"/>
  <c r="X57" i="5"/>
  <c r="N57" i="5"/>
  <c r="FD56" i="5"/>
  <c r="FE56" i="5" s="1"/>
  <c r="J56" i="5" s="1"/>
  <c r="I56" i="5" s="1"/>
  <c r="EI56" i="5"/>
  <c r="EJ56" i="5" s="1"/>
  <c r="L56" i="5" s="1"/>
  <c r="AH56" i="5" s="1"/>
  <c r="BJ56" i="5"/>
  <c r="T56" i="5" s="1"/>
  <c r="Q56" i="5" s="1"/>
  <c r="BI56" i="5"/>
  <c r="S56" i="5" s="1"/>
  <c r="BF56" i="5"/>
  <c r="AQ56" i="5"/>
  <c r="AT56" i="5" s="1"/>
  <c r="AO56" i="5"/>
  <c r="X56" i="5"/>
  <c r="N56" i="5"/>
  <c r="FD55" i="5"/>
  <c r="FE55" i="5" s="1"/>
  <c r="J55" i="5" s="1"/>
  <c r="I55" i="5" s="1"/>
  <c r="EI55" i="5"/>
  <c r="BJ55" i="5"/>
  <c r="T55" i="5" s="1"/>
  <c r="Q55" i="5" s="1"/>
  <c r="BI55" i="5"/>
  <c r="S55" i="5" s="1"/>
  <c r="BF55" i="5"/>
  <c r="AQ55" i="5"/>
  <c r="AT55" i="5" s="1"/>
  <c r="AO55" i="5"/>
  <c r="X55" i="5"/>
  <c r="N55" i="5"/>
  <c r="FD54" i="5"/>
  <c r="FE54" i="5" s="1"/>
  <c r="J54" i="5" s="1"/>
  <c r="I54" i="5" s="1"/>
  <c r="EI54" i="5"/>
  <c r="EJ54" i="5" s="1"/>
  <c r="L54" i="5" s="1"/>
  <c r="AH54" i="5" s="1"/>
  <c r="BJ54" i="5"/>
  <c r="T54" i="5" s="1"/>
  <c r="Q54" i="5" s="1"/>
  <c r="BI54" i="5"/>
  <c r="S54" i="5" s="1"/>
  <c r="BF54" i="5"/>
  <c r="AQ54" i="5"/>
  <c r="AT54" i="5" s="1"/>
  <c r="AO54" i="5"/>
  <c r="X54" i="5"/>
  <c r="N54" i="5"/>
  <c r="N53" i="5"/>
  <c r="FD44" i="5"/>
  <c r="FE44" i="5" s="1"/>
  <c r="J44" i="5" s="1"/>
  <c r="I44" i="5" s="1"/>
  <c r="FD45" i="5"/>
  <c r="FE45" i="5" s="1"/>
  <c r="J45" i="5" s="1"/>
  <c r="I45" i="5" s="1"/>
  <c r="FD46" i="5"/>
  <c r="FE46" i="5" s="1"/>
  <c r="J46" i="5" s="1"/>
  <c r="I46" i="5" s="1"/>
  <c r="FD47" i="5"/>
  <c r="FE47" i="5" s="1"/>
  <c r="J47" i="5" s="1"/>
  <c r="I47" i="5" s="1"/>
  <c r="FD48" i="5"/>
  <c r="FE48" i="5" s="1"/>
  <c r="J48" i="5" s="1"/>
  <c r="I48" i="5" s="1"/>
  <c r="FD49" i="5"/>
  <c r="FE49" i="5" s="1"/>
  <c r="J49" i="5" s="1"/>
  <c r="I49" i="5" s="1"/>
  <c r="FD50" i="5"/>
  <c r="FE50" i="5" s="1"/>
  <c r="J50" i="5" s="1"/>
  <c r="I50" i="5" s="1"/>
  <c r="FD51" i="5"/>
  <c r="FE51" i="5" s="1"/>
  <c r="J51" i="5" s="1"/>
  <c r="I51" i="5" s="1"/>
  <c r="FD53" i="5"/>
  <c r="FE53" i="5" s="1"/>
  <c r="J53" i="5" s="1"/>
  <c r="I53" i="5" s="1"/>
  <c r="EI53" i="5"/>
  <c r="EJ53" i="5" s="1"/>
  <c r="L53" i="5" s="1"/>
  <c r="K53" i="5" s="1"/>
  <c r="BJ53" i="5"/>
  <c r="T53" i="5" s="1"/>
  <c r="Q53" i="5" s="1"/>
  <c r="BI53" i="5"/>
  <c r="S53" i="5" s="1"/>
  <c r="BF53" i="5"/>
  <c r="AQ53" i="5"/>
  <c r="AT53" i="5" s="1"/>
  <c r="AO53" i="5"/>
  <c r="X53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4" i="5"/>
  <c r="AO45" i="5"/>
  <c r="AO46" i="5"/>
  <c r="AO47" i="5"/>
  <c r="AO48" i="5"/>
  <c r="AO49" i="5"/>
  <c r="AO50" i="5"/>
  <c r="AO51" i="5"/>
  <c r="AQ51" i="5"/>
  <c r="AT51" i="5" s="1"/>
  <c r="AQ50" i="5"/>
  <c r="AT50" i="5" s="1"/>
  <c r="AQ49" i="5"/>
  <c r="AT49" i="5" s="1"/>
  <c r="AQ48" i="5"/>
  <c r="AT48" i="5" s="1"/>
  <c r="AQ47" i="5"/>
  <c r="AT47" i="5" s="1"/>
  <c r="AQ46" i="5"/>
  <c r="AT46" i="5" s="1"/>
  <c r="AQ45" i="5"/>
  <c r="AT45" i="5" s="1"/>
  <c r="AQ44" i="5"/>
  <c r="AT44" i="5" s="1"/>
  <c r="EI51" i="5"/>
  <c r="EJ51" i="5" s="1"/>
  <c r="L51" i="5" s="1"/>
  <c r="K51" i="5" s="1"/>
  <c r="BJ51" i="5"/>
  <c r="T51" i="5" s="1"/>
  <c r="Q51" i="5" s="1"/>
  <c r="BI51" i="5"/>
  <c r="S51" i="5" s="1"/>
  <c r="BF51" i="5"/>
  <c r="X51" i="5"/>
  <c r="EI50" i="5"/>
  <c r="EJ50" i="5" s="1"/>
  <c r="L50" i="5" s="1"/>
  <c r="K50" i="5" s="1"/>
  <c r="BJ50" i="5"/>
  <c r="T50" i="5" s="1"/>
  <c r="Q50" i="5" s="1"/>
  <c r="BI50" i="5"/>
  <c r="S50" i="5" s="1"/>
  <c r="BF50" i="5"/>
  <c r="X50" i="5"/>
  <c r="EI49" i="5"/>
  <c r="EJ49" i="5" s="1"/>
  <c r="L49" i="5" s="1"/>
  <c r="K49" i="5" s="1"/>
  <c r="BJ49" i="5"/>
  <c r="T49" i="5" s="1"/>
  <c r="Q49" i="5" s="1"/>
  <c r="BI49" i="5"/>
  <c r="S49" i="5" s="1"/>
  <c r="BF49" i="5"/>
  <c r="X49" i="5"/>
  <c r="EI48" i="5"/>
  <c r="EJ48" i="5" s="1"/>
  <c r="L48" i="5" s="1"/>
  <c r="K48" i="5" s="1"/>
  <c r="BJ48" i="5"/>
  <c r="T48" i="5" s="1"/>
  <c r="Q48" i="5" s="1"/>
  <c r="BI48" i="5"/>
  <c r="S48" i="5" s="1"/>
  <c r="BF48" i="5"/>
  <c r="X48" i="5"/>
  <c r="EI47" i="5"/>
  <c r="EJ47" i="5" s="1"/>
  <c r="L47" i="5" s="1"/>
  <c r="K47" i="5" s="1"/>
  <c r="BJ47" i="5"/>
  <c r="T47" i="5" s="1"/>
  <c r="Q47" i="5" s="1"/>
  <c r="BI47" i="5"/>
  <c r="S47" i="5" s="1"/>
  <c r="BF47" i="5"/>
  <c r="X47" i="5"/>
  <c r="EI46" i="5"/>
  <c r="EJ46" i="5" s="1"/>
  <c r="L46" i="5" s="1"/>
  <c r="K46" i="5" s="1"/>
  <c r="BJ46" i="5"/>
  <c r="T46" i="5" s="1"/>
  <c r="Q46" i="5" s="1"/>
  <c r="BI46" i="5"/>
  <c r="S46" i="5" s="1"/>
  <c r="BF46" i="5"/>
  <c r="X46" i="5"/>
  <c r="EI45" i="5"/>
  <c r="EJ45" i="5" s="1"/>
  <c r="L45" i="5" s="1"/>
  <c r="K45" i="5" s="1"/>
  <c r="BJ45" i="5"/>
  <c r="T45" i="5" s="1"/>
  <c r="Q45" i="5" s="1"/>
  <c r="BI45" i="5"/>
  <c r="S45" i="5" s="1"/>
  <c r="BF45" i="5"/>
  <c r="X45" i="5"/>
  <c r="E57" i="3"/>
  <c r="EI44" i="5"/>
  <c r="EJ44" i="5" s="1"/>
  <c r="L44" i="5" s="1"/>
  <c r="K44" i="5" s="1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21" i="5"/>
  <c r="BF44" i="5"/>
  <c r="BI44" i="5"/>
  <c r="S44" i="5" s="1"/>
  <c r="CK21" i="5"/>
  <c r="CK22" i="5"/>
  <c r="CK23" i="5"/>
  <c r="CK24" i="5"/>
  <c r="CK25" i="5"/>
  <c r="CK26" i="5"/>
  <c r="CK27" i="5"/>
  <c r="CK28" i="5"/>
  <c r="CK29" i="5"/>
  <c r="CK30" i="5"/>
  <c r="CK31" i="5"/>
  <c r="CK32" i="5"/>
  <c r="CK33" i="5"/>
  <c r="CK34" i="5"/>
  <c r="CK35" i="5"/>
  <c r="CK36" i="5"/>
  <c r="CK37" i="5"/>
  <c r="CK38" i="5"/>
  <c r="CK39" i="5"/>
  <c r="CK40" i="5"/>
  <c r="CK41" i="5"/>
  <c r="CK42" i="5"/>
  <c r="X44" i="5"/>
  <c r="BJ44" i="5"/>
  <c r="T44" i="5" s="1"/>
  <c r="Q44" i="5" s="1"/>
  <c r="DJ42" i="5"/>
  <c r="DJ41" i="5"/>
  <c r="DJ40" i="5"/>
  <c r="DJ39" i="5"/>
  <c r="DJ37" i="5"/>
  <c r="AH50" i="5" l="1"/>
  <c r="AH49" i="5"/>
  <c r="AH48" i="5"/>
  <c r="AH46" i="5"/>
  <c r="AH47" i="5"/>
  <c r="AH45" i="5"/>
  <c r="H51" i="5"/>
  <c r="AH53" i="5"/>
  <c r="AH57" i="5"/>
  <c r="AH44" i="5"/>
  <c r="AH51" i="5"/>
  <c r="M136" i="6"/>
  <c r="Q136" i="6" s="1"/>
  <c r="V136" i="6" s="1"/>
  <c r="X136" i="6" s="1"/>
  <c r="M133" i="6"/>
  <c r="Q133" i="6" s="1"/>
  <c r="V133" i="6" s="1"/>
  <c r="X133" i="6" s="1"/>
  <c r="Y133" i="6" s="1"/>
  <c r="M135" i="6"/>
  <c r="Q135" i="6" s="1"/>
  <c r="V135" i="6" s="1"/>
  <c r="X135" i="6" s="1"/>
  <c r="M134" i="6"/>
  <c r="Q134" i="6" s="1"/>
  <c r="V134" i="6" s="1"/>
  <c r="X134" i="6" s="1"/>
  <c r="R56" i="5"/>
  <c r="P56" i="5" s="1"/>
  <c r="R57" i="5"/>
  <c r="P57" i="5" s="1"/>
  <c r="H57" i="5"/>
  <c r="K56" i="5"/>
  <c r="H56" i="5" s="1"/>
  <c r="R55" i="5"/>
  <c r="P55" i="5" s="1"/>
  <c r="EJ55" i="5"/>
  <c r="L55" i="5" s="1"/>
  <c r="R54" i="5"/>
  <c r="P54" i="5"/>
  <c r="K54" i="5"/>
  <c r="H54" i="5" s="1"/>
  <c r="H49" i="5"/>
  <c r="H44" i="5"/>
  <c r="H50" i="5"/>
  <c r="H47" i="5"/>
  <c r="H45" i="5"/>
  <c r="H48" i="5"/>
  <c r="H53" i="5"/>
  <c r="H46" i="5"/>
  <c r="R49" i="5"/>
  <c r="P49" i="5" s="1"/>
  <c r="R45" i="5"/>
  <c r="P45" i="5" s="1"/>
  <c r="R47" i="5"/>
  <c r="P47" i="5" s="1"/>
  <c r="R53" i="5"/>
  <c r="P53" i="5" s="1"/>
  <c r="R51" i="5"/>
  <c r="P51" i="5" s="1"/>
  <c r="R48" i="5"/>
  <c r="P48" i="5" s="1"/>
  <c r="R50" i="5"/>
  <c r="P50" i="5" s="1"/>
  <c r="R46" i="5"/>
  <c r="P46" i="5" s="1"/>
  <c r="R44" i="5"/>
  <c r="P44" i="5" s="1"/>
  <c r="AD42" i="5"/>
  <c r="AD41" i="5"/>
  <c r="AD40" i="5"/>
  <c r="AD39" i="5"/>
  <c r="AD37" i="5"/>
  <c r="DM38" i="5"/>
  <c r="AJ56" i="5" l="1"/>
  <c r="AZ56" i="5" s="1"/>
  <c r="AU56" i="5" s="1"/>
  <c r="AV56" i="5" s="1"/>
  <c r="BB56" i="5" s="1"/>
  <c r="AJ47" i="5"/>
  <c r="AZ47" i="5" s="1"/>
  <c r="AU47" i="5" s="1"/>
  <c r="AV47" i="5" s="1"/>
  <c r="BB47" i="5" s="1"/>
  <c r="AJ49" i="5"/>
  <c r="AZ49" i="5" s="1"/>
  <c r="AU49" i="5" s="1"/>
  <c r="AV49" i="5" s="1"/>
  <c r="BB49" i="5" s="1"/>
  <c r="AJ50" i="5"/>
  <c r="AZ50" i="5" s="1"/>
  <c r="AU50" i="5" s="1"/>
  <c r="AV50" i="5" s="1"/>
  <c r="BB50" i="5" s="1"/>
  <c r="AJ54" i="5"/>
  <c r="AZ54" i="5" s="1"/>
  <c r="AU54" i="5" s="1"/>
  <c r="AV54" i="5" s="1"/>
  <c r="BB54" i="5" s="1"/>
  <c r="K55" i="5"/>
  <c r="H55" i="5" s="1"/>
  <c r="AJ55" i="5" s="1"/>
  <c r="AH55" i="5"/>
  <c r="AJ57" i="5"/>
  <c r="AZ57" i="5" s="1"/>
  <c r="AU57" i="5" s="1"/>
  <c r="AV57" i="5" s="1"/>
  <c r="BB57" i="5" s="1"/>
  <c r="AJ45" i="5"/>
  <c r="AZ45" i="5" s="1"/>
  <c r="AU45" i="5" s="1"/>
  <c r="AV45" i="5" s="1"/>
  <c r="BB45" i="5" s="1"/>
  <c r="AJ53" i="5"/>
  <c r="AZ53" i="5" s="1"/>
  <c r="AU53" i="5" s="1"/>
  <c r="AV53" i="5" s="1"/>
  <c r="BB53" i="5" s="1"/>
  <c r="AJ51" i="5"/>
  <c r="AZ51" i="5" s="1"/>
  <c r="AU51" i="5" s="1"/>
  <c r="AV51" i="5" s="1"/>
  <c r="BB51" i="5" s="1"/>
  <c r="AJ46" i="5"/>
  <c r="AZ46" i="5" s="1"/>
  <c r="AU46" i="5" s="1"/>
  <c r="AV46" i="5" s="1"/>
  <c r="BB46" i="5" s="1"/>
  <c r="AJ48" i="5"/>
  <c r="AZ48" i="5" s="1"/>
  <c r="AU48" i="5" s="1"/>
  <c r="AV48" i="5" s="1"/>
  <c r="BB48" i="5" s="1"/>
  <c r="AJ44" i="5"/>
  <c r="AZ44" i="5" s="1"/>
  <c r="AU44" i="5" s="1"/>
  <c r="AV44" i="5" s="1"/>
  <c r="BB44" i="5" s="1"/>
  <c r="CS42" i="5"/>
  <c r="CR42" i="5"/>
  <c r="CO42" i="5"/>
  <c r="CJ42" i="5"/>
  <c r="CH42" i="5"/>
  <c r="CB42" i="5"/>
  <c r="CC42" i="5" s="1"/>
  <c r="BX42" i="5"/>
  <c r="BY42" i="5" s="1"/>
  <c r="BT42" i="5"/>
  <c r="BU42" i="5" s="1"/>
  <c r="BP42" i="5"/>
  <c r="BG42" i="5"/>
  <c r="BJ42" i="5" s="1"/>
  <c r="T42" i="5" s="1"/>
  <c r="Q42" i="5" s="1"/>
  <c r="R42" i="5" s="1"/>
  <c r="AQ42" i="5"/>
  <c r="AT42" i="5" s="1"/>
  <c r="X42" i="5"/>
  <c r="CS41" i="5"/>
  <c r="CR41" i="5"/>
  <c r="CO41" i="5"/>
  <c r="CJ41" i="5"/>
  <c r="CH41" i="5"/>
  <c r="CB41" i="5"/>
  <c r="CC41" i="5" s="1"/>
  <c r="BX41" i="5"/>
  <c r="BY41" i="5" s="1"/>
  <c r="BT41" i="5"/>
  <c r="BU41" i="5" s="1"/>
  <c r="BP41" i="5"/>
  <c r="BG41" i="5"/>
  <c r="BJ41" i="5" s="1"/>
  <c r="T41" i="5" s="1"/>
  <c r="Q41" i="5" s="1"/>
  <c r="R41" i="5" s="1"/>
  <c r="P41" i="5" s="1"/>
  <c r="AQ41" i="5"/>
  <c r="AT41" i="5" s="1"/>
  <c r="X41" i="5"/>
  <c r="CS40" i="5"/>
  <c r="CR40" i="5"/>
  <c r="CO40" i="5"/>
  <c r="CJ40" i="5"/>
  <c r="CH40" i="5"/>
  <c r="CB40" i="5"/>
  <c r="CC40" i="5" s="1"/>
  <c r="BX40" i="5"/>
  <c r="BT40" i="5"/>
  <c r="BU40" i="5" s="1"/>
  <c r="BP40" i="5"/>
  <c r="BG40" i="5"/>
  <c r="BH40" i="5" s="1"/>
  <c r="AQ40" i="5"/>
  <c r="AT40" i="5" s="1"/>
  <c r="X40" i="5"/>
  <c r="CS39" i="5"/>
  <c r="CR39" i="5"/>
  <c r="CO39" i="5"/>
  <c r="CJ39" i="5"/>
  <c r="CH39" i="5"/>
  <c r="CB39" i="5"/>
  <c r="CC39" i="5" s="1"/>
  <c r="BX39" i="5"/>
  <c r="BY39" i="5" s="1"/>
  <c r="BT39" i="5"/>
  <c r="BP39" i="5"/>
  <c r="BG39" i="5"/>
  <c r="BH39" i="5" s="1"/>
  <c r="AQ39" i="5"/>
  <c r="AT39" i="5" s="1"/>
  <c r="X39" i="5"/>
  <c r="CS38" i="5"/>
  <c r="CR38" i="5"/>
  <c r="CO38" i="5"/>
  <c r="CJ38" i="5"/>
  <c r="CH38" i="5"/>
  <c r="CB38" i="5"/>
  <c r="CC38" i="5" s="1"/>
  <c r="BX38" i="5"/>
  <c r="BY38" i="5" s="1"/>
  <c r="BT38" i="5"/>
  <c r="BP38" i="5"/>
  <c r="BG38" i="5"/>
  <c r="BJ38" i="5" s="1"/>
  <c r="T38" i="5" s="1"/>
  <c r="Q38" i="5" s="1"/>
  <c r="R38" i="5" s="1"/>
  <c r="P38" i="5" s="1"/>
  <c r="AQ38" i="5"/>
  <c r="AT38" i="5" s="1"/>
  <c r="X38" i="5"/>
  <c r="CS37" i="5"/>
  <c r="CR37" i="5"/>
  <c r="CO37" i="5"/>
  <c r="CJ37" i="5"/>
  <c r="CH37" i="5"/>
  <c r="CB37" i="5"/>
  <c r="CC37" i="5" s="1"/>
  <c r="BX37" i="5"/>
  <c r="BY37" i="5" s="1"/>
  <c r="BT37" i="5"/>
  <c r="BP37" i="5"/>
  <c r="BG37" i="5"/>
  <c r="BJ37" i="5" s="1"/>
  <c r="T37" i="5" s="1"/>
  <c r="Q37" i="5" s="1"/>
  <c r="AQ37" i="5"/>
  <c r="AT37" i="5" s="1"/>
  <c r="X37" i="5"/>
  <c r="CS36" i="5"/>
  <c r="CR36" i="5"/>
  <c r="CO36" i="5"/>
  <c r="CJ36" i="5"/>
  <c r="CH36" i="5"/>
  <c r="CB36" i="5"/>
  <c r="CC36" i="5" s="1"/>
  <c r="BX36" i="5"/>
  <c r="BY36" i="5" s="1"/>
  <c r="BT36" i="5"/>
  <c r="BP36" i="5"/>
  <c r="BG36" i="5"/>
  <c r="BJ36" i="5" s="1"/>
  <c r="T36" i="5" s="1"/>
  <c r="Q36" i="5" s="1"/>
  <c r="AQ36" i="5"/>
  <c r="AT36" i="5" s="1"/>
  <c r="X36" i="5"/>
  <c r="CS35" i="5"/>
  <c r="CR35" i="5"/>
  <c r="CO35" i="5"/>
  <c r="CJ35" i="5"/>
  <c r="CH35" i="5"/>
  <c r="CB35" i="5"/>
  <c r="CC35" i="5" s="1"/>
  <c r="BX35" i="5"/>
  <c r="BY35" i="5" s="1"/>
  <c r="BT35" i="5"/>
  <c r="BP35" i="5"/>
  <c r="BG35" i="5"/>
  <c r="BJ35" i="5" s="1"/>
  <c r="T35" i="5" s="1"/>
  <c r="Q35" i="5" s="1"/>
  <c r="AQ35" i="5"/>
  <c r="AT35" i="5" s="1"/>
  <c r="X35" i="5"/>
  <c r="CS34" i="5"/>
  <c r="CR34" i="5"/>
  <c r="CO34" i="5"/>
  <c r="CJ34" i="5"/>
  <c r="CH34" i="5"/>
  <c r="CB34" i="5"/>
  <c r="CC34" i="5" s="1"/>
  <c r="BX34" i="5"/>
  <c r="BY34" i="5" s="1"/>
  <c r="BT34" i="5"/>
  <c r="BP34" i="5"/>
  <c r="BG34" i="5"/>
  <c r="BJ34" i="5" s="1"/>
  <c r="T34" i="5" s="1"/>
  <c r="Q34" i="5" s="1"/>
  <c r="AQ34" i="5"/>
  <c r="AT34" i="5" s="1"/>
  <c r="X34" i="5"/>
  <c r="CS33" i="5"/>
  <c r="CR33" i="5"/>
  <c r="CO33" i="5"/>
  <c r="CJ33" i="5"/>
  <c r="CH33" i="5"/>
  <c r="CB33" i="5"/>
  <c r="CC33" i="5" s="1"/>
  <c r="BX33" i="5"/>
  <c r="BY33" i="5" s="1"/>
  <c r="BT33" i="5"/>
  <c r="BP33" i="5"/>
  <c r="BG33" i="5"/>
  <c r="BJ33" i="5" s="1"/>
  <c r="T33" i="5" s="1"/>
  <c r="Q33" i="5" s="1"/>
  <c r="R33" i="5" s="1"/>
  <c r="P33" i="5" s="1"/>
  <c r="AQ33" i="5"/>
  <c r="AT33" i="5" s="1"/>
  <c r="X33" i="5"/>
  <c r="CS32" i="5"/>
  <c r="CR32" i="5"/>
  <c r="CO32" i="5"/>
  <c r="CJ32" i="5"/>
  <c r="CH32" i="5"/>
  <c r="CB32" i="5"/>
  <c r="CC32" i="5" s="1"/>
  <c r="BX32" i="5"/>
  <c r="BT32" i="5"/>
  <c r="BP32" i="5"/>
  <c r="BG32" i="5"/>
  <c r="BJ32" i="5" s="1"/>
  <c r="T32" i="5" s="1"/>
  <c r="Q32" i="5" s="1"/>
  <c r="AQ32" i="5"/>
  <c r="AT32" i="5" s="1"/>
  <c r="X32" i="5"/>
  <c r="CS31" i="5"/>
  <c r="CR31" i="5"/>
  <c r="CO31" i="5"/>
  <c r="CJ31" i="5"/>
  <c r="CH31" i="5"/>
  <c r="CB31" i="5"/>
  <c r="CC31" i="5" s="1"/>
  <c r="BX31" i="5"/>
  <c r="BY31" i="5" s="1"/>
  <c r="BT31" i="5"/>
  <c r="BP31" i="5"/>
  <c r="BG31" i="5"/>
  <c r="BH31" i="5" s="1"/>
  <c r="AQ31" i="5"/>
  <c r="AT31" i="5" s="1"/>
  <c r="X31" i="5"/>
  <c r="CS30" i="5"/>
  <c r="CR30" i="5"/>
  <c r="CO30" i="5"/>
  <c r="CJ30" i="5"/>
  <c r="CH30" i="5"/>
  <c r="CB30" i="5"/>
  <c r="CC30" i="5" s="1"/>
  <c r="BX30" i="5"/>
  <c r="BY30" i="5" s="1"/>
  <c r="BT30" i="5"/>
  <c r="BP30" i="5"/>
  <c r="BG30" i="5"/>
  <c r="BH30" i="5" s="1"/>
  <c r="AQ30" i="5"/>
  <c r="AT30" i="5" s="1"/>
  <c r="X30" i="5"/>
  <c r="CS29" i="5"/>
  <c r="CR29" i="5"/>
  <c r="CO29" i="5"/>
  <c r="CJ29" i="5"/>
  <c r="CH29" i="5"/>
  <c r="CB29" i="5"/>
  <c r="CC29" i="5" s="1"/>
  <c r="BX29" i="5"/>
  <c r="BY29" i="5" s="1"/>
  <c r="BT29" i="5"/>
  <c r="BP29" i="5"/>
  <c r="BG29" i="5"/>
  <c r="BJ29" i="5" s="1"/>
  <c r="T29" i="5" s="1"/>
  <c r="Q29" i="5" s="1"/>
  <c r="R29" i="5" s="1"/>
  <c r="P29" i="5" s="1"/>
  <c r="AQ29" i="5"/>
  <c r="AT29" i="5" s="1"/>
  <c r="X29" i="5"/>
  <c r="CS28" i="5"/>
  <c r="CR28" i="5"/>
  <c r="CO28" i="5"/>
  <c r="CJ28" i="5"/>
  <c r="CH28" i="5"/>
  <c r="CB28" i="5"/>
  <c r="CC28" i="5" s="1"/>
  <c r="BX28" i="5"/>
  <c r="BY28" i="5" s="1"/>
  <c r="BT28" i="5"/>
  <c r="BP28" i="5"/>
  <c r="BG28" i="5"/>
  <c r="BJ28" i="5" s="1"/>
  <c r="T28" i="5" s="1"/>
  <c r="Q28" i="5" s="1"/>
  <c r="R28" i="5" s="1"/>
  <c r="P28" i="5" s="1"/>
  <c r="AQ28" i="5"/>
  <c r="AT28" i="5" s="1"/>
  <c r="X28" i="5"/>
  <c r="CS27" i="5"/>
  <c r="CR27" i="5"/>
  <c r="CO27" i="5"/>
  <c r="CJ27" i="5"/>
  <c r="CH27" i="5"/>
  <c r="CB27" i="5"/>
  <c r="CC27" i="5" s="1"/>
  <c r="BX27" i="5"/>
  <c r="BY27" i="5" s="1"/>
  <c r="BT27" i="5"/>
  <c r="BP27" i="5"/>
  <c r="BG27" i="5"/>
  <c r="BJ27" i="5" s="1"/>
  <c r="T27" i="5" s="1"/>
  <c r="Q27" i="5" s="1"/>
  <c r="AQ27" i="5"/>
  <c r="AT27" i="5" s="1"/>
  <c r="X27" i="5"/>
  <c r="CS26" i="5"/>
  <c r="CR26" i="5"/>
  <c r="CO26" i="5"/>
  <c r="CJ26" i="5"/>
  <c r="CH26" i="5"/>
  <c r="CB26" i="5"/>
  <c r="CC26" i="5" s="1"/>
  <c r="BX26" i="5"/>
  <c r="BY26" i="5" s="1"/>
  <c r="BT26" i="5"/>
  <c r="BP26" i="5"/>
  <c r="BG26" i="5"/>
  <c r="BJ26" i="5" s="1"/>
  <c r="T26" i="5" s="1"/>
  <c r="Q26" i="5" s="1"/>
  <c r="AQ26" i="5"/>
  <c r="AT26" i="5" s="1"/>
  <c r="X26" i="5"/>
  <c r="CS25" i="5"/>
  <c r="CR25" i="5"/>
  <c r="CO25" i="5"/>
  <c r="CJ25" i="5"/>
  <c r="CH25" i="5"/>
  <c r="CB25" i="5"/>
  <c r="CC25" i="5" s="1"/>
  <c r="BX25" i="5"/>
  <c r="BY25" i="5" s="1"/>
  <c r="BT25" i="5"/>
  <c r="BP25" i="5"/>
  <c r="BG25" i="5"/>
  <c r="BJ25" i="5" s="1"/>
  <c r="T25" i="5" s="1"/>
  <c r="Q25" i="5" s="1"/>
  <c r="R25" i="5" s="1"/>
  <c r="P25" i="5" s="1"/>
  <c r="AQ25" i="5"/>
  <c r="AT25" i="5" s="1"/>
  <c r="X25" i="5"/>
  <c r="CS24" i="5"/>
  <c r="CR24" i="5"/>
  <c r="CO24" i="5"/>
  <c r="CJ24" i="5"/>
  <c r="CH24" i="5"/>
  <c r="CB24" i="5"/>
  <c r="CC24" i="5" s="1"/>
  <c r="BX24" i="5"/>
  <c r="BY24" i="5" s="1"/>
  <c r="BT24" i="5"/>
  <c r="BP24" i="5"/>
  <c r="BG24" i="5"/>
  <c r="BH24" i="5" s="1"/>
  <c r="AQ24" i="5"/>
  <c r="AT24" i="5" s="1"/>
  <c r="X24" i="5"/>
  <c r="CS23" i="5"/>
  <c r="CR23" i="5"/>
  <c r="CO23" i="5"/>
  <c r="CJ23" i="5"/>
  <c r="CH23" i="5"/>
  <c r="CB23" i="5"/>
  <c r="CC23" i="5" s="1"/>
  <c r="BX23" i="5"/>
  <c r="BY23" i="5" s="1"/>
  <c r="BT23" i="5"/>
  <c r="BP23" i="5"/>
  <c r="BG23" i="5"/>
  <c r="BJ23" i="5" s="1"/>
  <c r="T23" i="5" s="1"/>
  <c r="Q23" i="5" s="1"/>
  <c r="R23" i="5" s="1"/>
  <c r="P23" i="5" s="1"/>
  <c r="AQ23" i="5"/>
  <c r="AT23" i="5" s="1"/>
  <c r="X23" i="5"/>
  <c r="CS22" i="5"/>
  <c r="CR22" i="5"/>
  <c r="CO22" i="5"/>
  <c r="CJ22" i="5"/>
  <c r="CH22" i="5"/>
  <c r="CB22" i="5"/>
  <c r="CC22" i="5" s="1"/>
  <c r="BX22" i="5"/>
  <c r="BY22" i="5" s="1"/>
  <c r="BT22" i="5"/>
  <c r="BP22" i="5"/>
  <c r="BG22" i="5"/>
  <c r="BJ22" i="5" s="1"/>
  <c r="T22" i="5" s="1"/>
  <c r="Q22" i="5" s="1"/>
  <c r="R22" i="5" s="1"/>
  <c r="P22" i="5" s="1"/>
  <c r="AQ22" i="5"/>
  <c r="AT22" i="5" s="1"/>
  <c r="X22" i="5"/>
  <c r="AQ21" i="5"/>
  <c r="AT21" i="5" s="1"/>
  <c r="BG21" i="5"/>
  <c r="BJ21" i="5" s="1"/>
  <c r="T21" i="5" s="1"/>
  <c r="Q21" i="5" s="1"/>
  <c r="CS11" i="5"/>
  <c r="CR11" i="5"/>
  <c r="DB16" i="5"/>
  <c r="CZ16" i="5"/>
  <c r="CS21" i="5"/>
  <c r="CR21" i="5"/>
  <c r="CS16" i="5"/>
  <c r="CR16" i="5"/>
  <c r="CB21" i="5"/>
  <c r="CC21" i="5" s="1"/>
  <c r="BX21" i="5"/>
  <c r="BY21" i="5" s="1"/>
  <c r="BT21" i="5"/>
  <c r="CO21" i="5"/>
  <c r="CJ21" i="5"/>
  <c r="CH21" i="5"/>
  <c r="BP21" i="5"/>
  <c r="X21" i="5"/>
  <c r="N11" i="1"/>
  <c r="O11" i="1" s="1"/>
  <c r="S11" i="1"/>
  <c r="AX5" i="1"/>
  <c r="AQ5" i="1"/>
  <c r="AP5" i="1"/>
  <c r="AN5" i="1"/>
  <c r="AM5" i="1"/>
  <c r="AK5" i="1"/>
  <c r="AJ5" i="1"/>
  <c r="AH5" i="1"/>
  <c r="AG5" i="1"/>
  <c r="AE5" i="1"/>
  <c r="AD5" i="1"/>
  <c r="AB5" i="1"/>
  <c r="AA5" i="1"/>
  <c r="Y5" i="1"/>
  <c r="X5" i="1"/>
  <c r="S5" i="1"/>
  <c r="T5" i="1"/>
  <c r="E19" i="3"/>
  <c r="S4" i="1"/>
  <c r="S3" i="1"/>
  <c r="Q5" i="1"/>
  <c r="N5" i="1"/>
  <c r="M5" i="1"/>
  <c r="I5" i="1"/>
  <c r="G5" i="1"/>
  <c r="HL4" i="1"/>
  <c r="HK4" i="1"/>
  <c r="HJ4" i="1"/>
  <c r="AA217" i="3"/>
  <c r="HF4" i="1"/>
  <c r="DW4" i="1"/>
  <c r="DV4" i="1"/>
  <c r="DU4" i="1"/>
  <c r="DT4" i="1"/>
  <c r="DS4" i="1"/>
  <c r="DQ4" i="1"/>
  <c r="DP4" i="1"/>
  <c r="DO4" i="1"/>
  <c r="DN4" i="1"/>
  <c r="DM4" i="1"/>
  <c r="DK4" i="1"/>
  <c r="DJ4" i="1"/>
  <c r="DI4" i="1"/>
  <c r="DH4" i="1"/>
  <c r="DG4" i="1"/>
  <c r="DE4" i="1"/>
  <c r="DD4" i="1"/>
  <c r="DC4" i="1"/>
  <c r="DB4" i="1"/>
  <c r="DA4" i="1"/>
  <c r="CY4" i="1"/>
  <c r="CX4" i="1"/>
  <c r="CW4" i="1"/>
  <c r="CV4" i="1"/>
  <c r="CU4" i="1"/>
  <c r="CS4" i="1"/>
  <c r="CR4" i="1"/>
  <c r="CQ4" i="1"/>
  <c r="CP4" i="1"/>
  <c r="CO4" i="1"/>
  <c r="CM4" i="1"/>
  <c r="CL4" i="1"/>
  <c r="CK4" i="1"/>
  <c r="CJ4" i="1"/>
  <c r="CI4" i="1"/>
  <c r="CG4" i="1"/>
  <c r="CF4" i="1"/>
  <c r="CE4" i="1"/>
  <c r="CD4" i="1"/>
  <c r="CC4" i="1"/>
  <c r="BY4" i="1"/>
  <c r="BX4" i="1"/>
  <c r="BE4" i="1"/>
  <c r="BD4" i="1"/>
  <c r="BC4" i="1"/>
  <c r="BB4" i="1"/>
  <c r="BA4" i="1"/>
  <c r="AZ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Q4" i="1"/>
  <c r="M4" i="1"/>
  <c r="I4" i="1"/>
  <c r="G4" i="1"/>
  <c r="HK3" i="1"/>
  <c r="HL3" i="1"/>
  <c r="HJ3" i="1"/>
  <c r="HF3" i="1"/>
  <c r="HB3" i="1"/>
  <c r="GV3" i="1"/>
  <c r="GP3" i="1"/>
  <c r="GJ3" i="1"/>
  <c r="GD3" i="1"/>
  <c r="FX3" i="1"/>
  <c r="FR3" i="1"/>
  <c r="FL3" i="1"/>
  <c r="FF3" i="1"/>
  <c r="EZ3" i="1"/>
  <c r="ET3" i="1"/>
  <c r="EN3" i="1"/>
  <c r="EH3" i="1"/>
  <c r="EB3" i="1"/>
  <c r="DV3" i="1"/>
  <c r="DP3" i="1"/>
  <c r="DJ3" i="1"/>
  <c r="DD3" i="1"/>
  <c r="CX3" i="1"/>
  <c r="CR3" i="1"/>
  <c r="CL3" i="1"/>
  <c r="CF3" i="1"/>
  <c r="HA3" i="1"/>
  <c r="GZ3" i="1"/>
  <c r="GY3" i="1"/>
  <c r="GX3" i="1"/>
  <c r="GU3" i="1"/>
  <c r="GT3" i="1"/>
  <c r="GS3" i="1"/>
  <c r="GR3" i="1"/>
  <c r="GO3" i="1"/>
  <c r="GN3" i="1"/>
  <c r="GM3" i="1"/>
  <c r="GL3" i="1"/>
  <c r="GI3" i="1"/>
  <c r="GH3" i="1"/>
  <c r="GG3" i="1"/>
  <c r="GF3" i="1"/>
  <c r="GC3" i="1"/>
  <c r="GB3" i="1"/>
  <c r="GA3" i="1"/>
  <c r="FZ3" i="1"/>
  <c r="FW3" i="1"/>
  <c r="FV3" i="1"/>
  <c r="FU3" i="1"/>
  <c r="FT3" i="1"/>
  <c r="FQ3" i="1"/>
  <c r="FP3" i="1"/>
  <c r="FO3" i="1"/>
  <c r="FN3" i="1"/>
  <c r="FK3" i="1"/>
  <c r="FJ3" i="1"/>
  <c r="FI3" i="1"/>
  <c r="FH3" i="1"/>
  <c r="FE3" i="1"/>
  <c r="FD3" i="1"/>
  <c r="FC3" i="1"/>
  <c r="FB3" i="1"/>
  <c r="EY3" i="1"/>
  <c r="EX3" i="1"/>
  <c r="EW3" i="1"/>
  <c r="EV3" i="1"/>
  <c r="ES3" i="1"/>
  <c r="ER3" i="1"/>
  <c r="EQ3" i="1"/>
  <c r="EP3" i="1"/>
  <c r="EM3" i="1"/>
  <c r="EL3" i="1"/>
  <c r="EK3" i="1"/>
  <c r="EJ3" i="1"/>
  <c r="EG3" i="1"/>
  <c r="EF3" i="1"/>
  <c r="EE3" i="1"/>
  <c r="ED3" i="1"/>
  <c r="EA3" i="1"/>
  <c r="DZ3" i="1"/>
  <c r="DY3" i="1"/>
  <c r="DX3" i="1"/>
  <c r="DU3" i="1"/>
  <c r="DT3" i="1"/>
  <c r="DS3" i="1"/>
  <c r="DR3" i="1"/>
  <c r="DO3" i="1"/>
  <c r="DN3" i="1"/>
  <c r="DM3" i="1"/>
  <c r="DL3" i="1"/>
  <c r="DI3" i="1"/>
  <c r="DH3" i="1"/>
  <c r="DG3" i="1"/>
  <c r="DF3" i="1"/>
  <c r="DC3" i="1"/>
  <c r="DB3" i="1"/>
  <c r="DA3" i="1"/>
  <c r="CZ3" i="1"/>
  <c r="CW3" i="1"/>
  <c r="CV3" i="1"/>
  <c r="CU3" i="1"/>
  <c r="CT3" i="1"/>
  <c r="CQ3" i="1"/>
  <c r="CP3" i="1"/>
  <c r="CO3" i="1"/>
  <c r="CN3" i="1"/>
  <c r="CK3" i="1"/>
  <c r="CJ3" i="1"/>
  <c r="CI3" i="1"/>
  <c r="CH3" i="1"/>
  <c r="CE3" i="1"/>
  <c r="CD3" i="1"/>
  <c r="CC3" i="1"/>
  <c r="CB3" i="1"/>
  <c r="C205" i="2"/>
  <c r="C203" i="2"/>
  <c r="C201" i="2"/>
  <c r="C198" i="2"/>
  <c r="C196" i="2"/>
  <c r="C194" i="2"/>
  <c r="C193" i="2"/>
  <c r="C192" i="2"/>
  <c r="C187" i="2"/>
  <c r="C186" i="2"/>
  <c r="C185" i="2"/>
  <c r="BY3" i="1"/>
  <c r="BS3" i="1"/>
  <c r="BR3" i="1"/>
  <c r="BQ3" i="1"/>
  <c r="H163" i="2"/>
  <c r="G163" i="2"/>
  <c r="BP3" i="1"/>
  <c r="BO3" i="1"/>
  <c r="BN3" i="1"/>
  <c r="BM3" i="1"/>
  <c r="BL3" i="1"/>
  <c r="BK3" i="1"/>
  <c r="BH3" i="1"/>
  <c r="BG3" i="1"/>
  <c r="BF3" i="1"/>
  <c r="BE3" i="1"/>
  <c r="BD3" i="1"/>
  <c r="BC3" i="1"/>
  <c r="BB3" i="1"/>
  <c r="BA3" i="1"/>
  <c r="AZ3" i="1"/>
  <c r="AE3" i="1"/>
  <c r="AD3" i="1"/>
  <c r="AC3" i="1"/>
  <c r="AB3" i="1"/>
  <c r="AA3" i="1"/>
  <c r="Z3" i="1"/>
  <c r="Y3" i="1"/>
  <c r="X3" i="1"/>
  <c r="W3" i="1"/>
  <c r="Q3" i="1"/>
  <c r="M3" i="1"/>
  <c r="L3" i="1"/>
  <c r="K3" i="1"/>
  <c r="H3" i="1"/>
  <c r="J3" i="1"/>
  <c r="I3" i="1"/>
  <c r="G3" i="1"/>
  <c r="J184" i="4"/>
  <c r="J186" i="4" s="1"/>
  <c r="H184" i="4"/>
  <c r="G184" i="4"/>
  <c r="F184" i="4"/>
  <c r="D184" i="4"/>
  <c r="J176" i="4"/>
  <c r="H176" i="4"/>
  <c r="J175" i="4"/>
  <c r="J174" i="4"/>
  <c r="J173" i="4"/>
  <c r="J172" i="4"/>
  <c r="AC171" i="4"/>
  <c r="AD171" i="4" s="1"/>
  <c r="AB171" i="4"/>
  <c r="J171" i="4"/>
  <c r="O170" i="4"/>
  <c r="I145" i="4"/>
  <c r="I144" i="4"/>
  <c r="I143" i="4"/>
  <c r="I142" i="4"/>
  <c r="I141" i="4"/>
  <c r="G138" i="4"/>
  <c r="D106" i="4"/>
  <c r="F101" i="4"/>
  <c r="G100" i="4"/>
  <c r="J94" i="4"/>
  <c r="J96" i="4" s="1"/>
  <c r="H94" i="4"/>
  <c r="G94" i="4"/>
  <c r="F94" i="4"/>
  <c r="D94" i="4"/>
  <c r="H86" i="4"/>
  <c r="J85" i="4"/>
  <c r="J84" i="4"/>
  <c r="J83" i="4"/>
  <c r="J82" i="4"/>
  <c r="J81" i="4"/>
  <c r="J86" i="4" s="1"/>
  <c r="I69" i="4"/>
  <c r="I68" i="4"/>
  <c r="I67" i="4"/>
  <c r="I66" i="4"/>
  <c r="I65" i="4"/>
  <c r="G62" i="4"/>
  <c r="P58" i="4"/>
  <c r="I58" i="4"/>
  <c r="G58" i="4"/>
  <c r="P57" i="4"/>
  <c r="I57" i="4"/>
  <c r="G57" i="4"/>
  <c r="P56" i="4"/>
  <c r="I56" i="4"/>
  <c r="G56" i="4"/>
  <c r="P55" i="4"/>
  <c r="I55" i="4"/>
  <c r="G55" i="4"/>
  <c r="P54" i="4"/>
  <c r="I54" i="4"/>
  <c r="G54" i="4"/>
  <c r="P53" i="4"/>
  <c r="I53" i="4"/>
  <c r="G53" i="4"/>
  <c r="P52" i="4"/>
  <c r="P59" i="4" s="1"/>
  <c r="I52" i="4"/>
  <c r="N59" i="4" s="1"/>
  <c r="R59" i="4" s="1"/>
  <c r="E111" i="4" s="1"/>
  <c r="G128" i="4" s="1"/>
  <c r="G52" i="4"/>
  <c r="P50" i="4"/>
  <c r="I50" i="4"/>
  <c r="G50" i="4"/>
  <c r="P49" i="4"/>
  <c r="I49" i="4"/>
  <c r="G49" i="4"/>
  <c r="P48" i="4"/>
  <c r="I48" i="4"/>
  <c r="G48" i="4"/>
  <c r="P47" i="4"/>
  <c r="I47" i="4"/>
  <c r="G47" i="4"/>
  <c r="P46" i="4"/>
  <c r="I46" i="4"/>
  <c r="I74" i="4" s="1"/>
  <c r="C106" i="4" s="1"/>
  <c r="G46" i="4"/>
  <c r="P45" i="4"/>
  <c r="P51" i="4" s="1"/>
  <c r="I45" i="4"/>
  <c r="G45" i="4"/>
  <c r="P44" i="4"/>
  <c r="I44" i="4"/>
  <c r="G44" i="4"/>
  <c r="E32" i="4"/>
  <c r="E31" i="4"/>
  <c r="E30" i="4"/>
  <c r="E29" i="4"/>
  <c r="R23" i="4"/>
  <c r="N21" i="4"/>
  <c r="E19" i="4"/>
  <c r="D100" i="4" s="1"/>
  <c r="E17" i="4"/>
  <c r="E18" i="4" s="1"/>
  <c r="E10" i="4"/>
  <c r="AZ55" i="5" l="1"/>
  <c r="AU55" i="5" s="1"/>
  <c r="AV55" i="5" s="1"/>
  <c r="BB55" i="5" s="1"/>
  <c r="CP41" i="5"/>
  <c r="M41" i="5" s="1"/>
  <c r="CP24" i="5"/>
  <c r="M24" i="5" s="1"/>
  <c r="CP40" i="5"/>
  <c r="M40" i="5" s="1"/>
  <c r="BU39" i="5"/>
  <c r="CT39" i="5" s="1"/>
  <c r="BU28" i="5"/>
  <c r="BU33" i="5"/>
  <c r="CT33" i="5" s="1"/>
  <c r="BU22" i="5"/>
  <c r="CT22" i="5" s="1"/>
  <c r="BU38" i="5"/>
  <c r="CT38" i="5" s="1"/>
  <c r="BU27" i="5"/>
  <c r="BU32" i="5"/>
  <c r="BU21" i="5"/>
  <c r="CT21" i="5" s="1"/>
  <c r="BU37" i="5"/>
  <c r="CT37" i="5" s="1"/>
  <c r="BU26" i="5"/>
  <c r="CT26" i="5" s="1"/>
  <c r="BU36" i="5"/>
  <c r="BU34" i="5"/>
  <c r="CT34" i="5" s="1"/>
  <c r="BU25" i="5"/>
  <c r="BU23" i="5"/>
  <c r="CT23" i="5" s="1"/>
  <c r="BU30" i="5"/>
  <c r="BU31" i="5"/>
  <c r="BU35" i="5"/>
  <c r="BU24" i="5"/>
  <c r="CT24" i="5" s="1"/>
  <c r="BU29" i="5"/>
  <c r="CP26" i="5"/>
  <c r="CQ26" i="5" s="1"/>
  <c r="CP27" i="5"/>
  <c r="M27" i="5" s="1"/>
  <c r="R32" i="5"/>
  <c r="P32" i="5" s="1"/>
  <c r="CP28" i="5"/>
  <c r="M28" i="5" s="1"/>
  <c r="R26" i="5"/>
  <c r="P26" i="5"/>
  <c r="R37" i="5"/>
  <c r="P37" i="5" s="1"/>
  <c r="R36" i="5"/>
  <c r="P36" i="5" s="1"/>
  <c r="R21" i="5"/>
  <c r="P21" i="5" s="1"/>
  <c r="R27" i="5"/>
  <c r="P27" i="5" s="1"/>
  <c r="R35" i="5"/>
  <c r="P35" i="5" s="1"/>
  <c r="R34" i="5"/>
  <c r="P34" i="5" s="1"/>
  <c r="CP38" i="5"/>
  <c r="M38" i="5" s="1"/>
  <c r="CU29" i="5"/>
  <c r="CP34" i="5"/>
  <c r="CQ34" i="5" s="1"/>
  <c r="CP31" i="5"/>
  <c r="M31" i="5" s="1"/>
  <c r="CP36" i="5"/>
  <c r="M36" i="5" s="1"/>
  <c r="CP25" i="5"/>
  <c r="M25" i="5" s="1"/>
  <c r="CP33" i="5"/>
  <c r="M33" i="5" s="1"/>
  <c r="CP42" i="5"/>
  <c r="CQ42" i="5" s="1"/>
  <c r="CU35" i="5"/>
  <c r="BH38" i="5"/>
  <c r="BH41" i="5"/>
  <c r="BJ40" i="5"/>
  <c r="T40" i="5" s="1"/>
  <c r="Q40" i="5" s="1"/>
  <c r="R40" i="5" s="1"/>
  <c r="P40" i="5" s="1"/>
  <c r="BH35" i="5"/>
  <c r="CP39" i="5"/>
  <c r="M39" i="5" s="1"/>
  <c r="BH28" i="5"/>
  <c r="CP37" i="5"/>
  <c r="M37" i="5" s="1"/>
  <c r="BH26" i="5"/>
  <c r="BH27" i="5"/>
  <c r="CP30" i="5"/>
  <c r="M30" i="5" s="1"/>
  <c r="CP32" i="5"/>
  <c r="M32" i="5" s="1"/>
  <c r="CP35" i="5"/>
  <c r="M35" i="5" s="1"/>
  <c r="CT28" i="5"/>
  <c r="CU37" i="5"/>
  <c r="CU27" i="5"/>
  <c r="CU28" i="5"/>
  <c r="CP29" i="5"/>
  <c r="M29" i="5" s="1"/>
  <c r="CQ41" i="5"/>
  <c r="P42" i="5"/>
  <c r="BJ39" i="5"/>
  <c r="T39" i="5" s="1"/>
  <c r="Q39" i="5" s="1"/>
  <c r="R39" i="5" s="1"/>
  <c r="P39" i="5" s="1"/>
  <c r="BY40" i="5"/>
  <c r="CU40" i="5" s="1"/>
  <c r="BH42" i="5"/>
  <c r="CU39" i="5"/>
  <c r="CT42" i="5"/>
  <c r="CU42" i="5"/>
  <c r="CU38" i="5"/>
  <c r="CT41" i="5"/>
  <c r="CU41" i="5"/>
  <c r="BH37" i="5"/>
  <c r="CT40" i="5"/>
  <c r="CT35" i="5"/>
  <c r="BJ31" i="5"/>
  <c r="T31" i="5" s="1"/>
  <c r="Q31" i="5" s="1"/>
  <c r="BY32" i="5"/>
  <c r="CU32" i="5" s="1"/>
  <c r="BH34" i="5"/>
  <c r="CU31" i="5"/>
  <c r="CU34" i="5"/>
  <c r="BJ30" i="5"/>
  <c r="T30" i="5" s="1"/>
  <c r="Q30" i="5" s="1"/>
  <c r="R30" i="5" s="1"/>
  <c r="P30" i="5" s="1"/>
  <c r="BH33" i="5"/>
  <c r="BH36" i="5"/>
  <c r="CU30" i="5"/>
  <c r="CU33" i="5"/>
  <c r="BH29" i="5"/>
  <c r="CU36" i="5"/>
  <c r="BH32" i="5"/>
  <c r="CT29" i="5"/>
  <c r="CU26" i="5"/>
  <c r="BH25" i="5"/>
  <c r="CU25" i="5"/>
  <c r="CP23" i="5"/>
  <c r="M23" i="5" s="1"/>
  <c r="BJ24" i="5"/>
  <c r="T24" i="5" s="1"/>
  <c r="Q24" i="5" s="1"/>
  <c r="R24" i="5" s="1"/>
  <c r="P24" i="5" s="1"/>
  <c r="CP22" i="5"/>
  <c r="M22" i="5" s="1"/>
  <c r="CU24" i="5"/>
  <c r="BH23" i="5"/>
  <c r="CU23" i="5"/>
  <c r="BH22" i="5"/>
  <c r="CU22" i="5"/>
  <c r="BH21" i="5"/>
  <c r="CU21" i="5"/>
  <c r="CP21" i="5"/>
  <c r="AY5" i="1"/>
  <c r="U5" i="1"/>
  <c r="P5" i="1"/>
  <c r="G129" i="4"/>
  <c r="H128" i="4"/>
  <c r="I128" i="4" s="1"/>
  <c r="E159" i="4"/>
  <c r="E106" i="4"/>
  <c r="F106" i="4"/>
  <c r="D155" i="4"/>
  <c r="E155" i="4" s="1"/>
  <c r="E102" i="4"/>
  <c r="N51" i="4"/>
  <c r="R51" i="4" s="1"/>
  <c r="E112" i="4" s="1"/>
  <c r="G120" i="4" s="1"/>
  <c r="M26" i="5" l="1"/>
  <c r="CQ40" i="5"/>
  <c r="CQ24" i="5"/>
  <c r="CV24" i="5" s="1"/>
  <c r="CW24" i="5" s="1"/>
  <c r="CA24" i="5" s="1"/>
  <c r="DA24" i="5" s="1"/>
  <c r="K24" i="5" s="1"/>
  <c r="CT30" i="5"/>
  <c r="CT27" i="5"/>
  <c r="CQ27" i="5"/>
  <c r="CT25" i="5"/>
  <c r="CT31" i="5"/>
  <c r="CV26" i="5"/>
  <c r="CW26" i="5" s="1"/>
  <c r="CA26" i="5" s="1"/>
  <c r="DA26" i="5" s="1"/>
  <c r="K26" i="5" s="1"/>
  <c r="CT32" i="5"/>
  <c r="CT36" i="5"/>
  <c r="CY39" i="5"/>
  <c r="I39" i="5" s="1"/>
  <c r="CQ28" i="5"/>
  <c r="CV28" i="5" s="1"/>
  <c r="CW28" i="5" s="1"/>
  <c r="CA28" i="5" s="1"/>
  <c r="CQ38" i="5"/>
  <c r="CV38" i="5" s="1"/>
  <c r="CW38" i="5" s="1"/>
  <c r="CA38" i="5" s="1"/>
  <c r="M34" i="5"/>
  <c r="M42" i="5"/>
  <c r="CQ31" i="5"/>
  <c r="R31" i="5"/>
  <c r="P31" i="5" s="1"/>
  <c r="CQ36" i="5"/>
  <c r="CQ33" i="5"/>
  <c r="CV33" i="5" s="1"/>
  <c r="CW33" i="5" s="1"/>
  <c r="CA33" i="5" s="1"/>
  <c r="DA33" i="5" s="1"/>
  <c r="K33" i="5" s="1"/>
  <c r="CQ25" i="5"/>
  <c r="CV34" i="5"/>
  <c r="CW34" i="5" s="1"/>
  <c r="CA34" i="5" s="1"/>
  <c r="CQ39" i="5"/>
  <c r="CV39" i="5" s="1"/>
  <c r="CW39" i="5" s="1"/>
  <c r="CA39" i="5" s="1"/>
  <c r="DA39" i="5" s="1"/>
  <c r="K39" i="5" s="1"/>
  <c r="CQ37" i="5"/>
  <c r="CV37" i="5" s="1"/>
  <c r="CW37" i="5" s="1"/>
  <c r="CA37" i="5" s="1"/>
  <c r="DA37" i="5" s="1"/>
  <c r="K37" i="5" s="1"/>
  <c r="CQ29" i="5"/>
  <c r="CV29" i="5" s="1"/>
  <c r="CW29" i="5" s="1"/>
  <c r="CA29" i="5" s="1"/>
  <c r="CV42" i="5"/>
  <c r="CW42" i="5" s="1"/>
  <c r="CA42" i="5" s="1"/>
  <c r="CQ32" i="5"/>
  <c r="CV32" i="5" s="1"/>
  <c r="CW32" i="5" s="1"/>
  <c r="CA32" i="5" s="1"/>
  <c r="CY32" i="5" s="1"/>
  <c r="I32" i="5" s="1"/>
  <c r="CQ30" i="5"/>
  <c r="CQ23" i="5"/>
  <c r="CV23" i="5" s="1"/>
  <c r="CW23" i="5" s="1"/>
  <c r="CA23" i="5" s="1"/>
  <c r="DA23" i="5" s="1"/>
  <c r="K23" i="5" s="1"/>
  <c r="CQ35" i="5"/>
  <c r="CV35" i="5" s="1"/>
  <c r="CW35" i="5" s="1"/>
  <c r="CA35" i="5" s="1"/>
  <c r="DA35" i="5" s="1"/>
  <c r="K35" i="5" s="1"/>
  <c r="CV41" i="5"/>
  <c r="CW41" i="5" s="1"/>
  <c r="CA41" i="5" s="1"/>
  <c r="CV40" i="5"/>
  <c r="CW40" i="5" s="1"/>
  <c r="CA40" i="5" s="1"/>
  <c r="CQ22" i="5"/>
  <c r="CV22" i="5" s="1"/>
  <c r="CW22" i="5" s="1"/>
  <c r="CA22" i="5" s="1"/>
  <c r="DA22" i="5" s="1"/>
  <c r="K22" i="5" s="1"/>
  <c r="M21" i="5"/>
  <c r="G121" i="4"/>
  <c r="H120" i="4"/>
  <c r="I120" i="4" s="1"/>
  <c r="F155" i="4"/>
  <c r="G155" i="4" s="1"/>
  <c r="D159" i="4" s="1"/>
  <c r="H129" i="4"/>
  <c r="I129" i="4" s="1"/>
  <c r="G130" i="4"/>
  <c r="CV30" i="5" l="1"/>
  <c r="CW30" i="5" s="1"/>
  <c r="CA30" i="5" s="1"/>
  <c r="DA30" i="5" s="1"/>
  <c r="K30" i="5" s="1"/>
  <c r="CY37" i="5"/>
  <c r="I37" i="5" s="1"/>
  <c r="CY24" i="5"/>
  <c r="I24" i="5" s="1"/>
  <c r="CV36" i="5"/>
  <c r="CW36" i="5" s="1"/>
  <c r="CA36" i="5" s="1"/>
  <c r="CV27" i="5"/>
  <c r="CW27" i="5" s="1"/>
  <c r="CA27" i="5" s="1"/>
  <c r="CZ27" i="5" s="1"/>
  <c r="CY33" i="5"/>
  <c r="I33" i="5" s="1"/>
  <c r="CV31" i="5"/>
  <c r="CW31" i="5" s="1"/>
  <c r="CA31" i="5" s="1"/>
  <c r="DA31" i="5" s="1"/>
  <c r="K31" i="5" s="1"/>
  <c r="CV25" i="5"/>
  <c r="CW25" i="5" s="1"/>
  <c r="CA25" i="5" s="1"/>
  <c r="DA25" i="5" s="1"/>
  <c r="K25" i="5" s="1"/>
  <c r="DA38" i="5"/>
  <c r="K38" i="5" s="1"/>
  <c r="CY38" i="5"/>
  <c r="I38" i="5" s="1"/>
  <c r="DA36" i="5"/>
  <c r="K36" i="5" s="1"/>
  <c r="CY36" i="5"/>
  <c r="I36" i="5" s="1"/>
  <c r="DB25" i="5"/>
  <c r="DA27" i="5"/>
  <c r="K27" i="5" s="1"/>
  <c r="CY23" i="5"/>
  <c r="I23" i="5" s="1"/>
  <c r="CZ28" i="5"/>
  <c r="DA28" i="5"/>
  <c r="K28" i="5" s="1"/>
  <c r="DB32" i="5"/>
  <c r="DA32" i="5"/>
  <c r="K32" i="5" s="1"/>
  <c r="CY35" i="5"/>
  <c r="I35" i="5" s="1"/>
  <c r="CY30" i="5"/>
  <c r="I30" i="5" s="1"/>
  <c r="DB29" i="5"/>
  <c r="DA29" i="5"/>
  <c r="K29" i="5" s="1"/>
  <c r="CY29" i="5"/>
  <c r="I29" i="5" s="1"/>
  <c r="CY22" i="5"/>
  <c r="I22" i="5" s="1"/>
  <c r="CZ26" i="5"/>
  <c r="DB26" i="5"/>
  <c r="CY28" i="5"/>
  <c r="I28" i="5" s="1"/>
  <c r="DB34" i="5"/>
  <c r="DA34" i="5"/>
  <c r="K34" i="5" s="1"/>
  <c r="CY34" i="5"/>
  <c r="I34" i="5" s="1"/>
  <c r="CY26" i="5"/>
  <c r="I26" i="5" s="1"/>
  <c r="H26" i="5" s="1"/>
  <c r="AJ26" i="5" s="1"/>
  <c r="AZ26" i="5" s="1"/>
  <c r="AU26" i="5" s="1"/>
  <c r="AV26" i="5" s="1"/>
  <c r="BB26" i="5" s="1"/>
  <c r="CZ42" i="5"/>
  <c r="DA42" i="5"/>
  <c r="K42" i="5" s="1"/>
  <c r="CY42" i="5"/>
  <c r="I42" i="5" s="1"/>
  <c r="DA40" i="5"/>
  <c r="K40" i="5" s="1"/>
  <c r="CY40" i="5"/>
  <c r="I40" i="5" s="1"/>
  <c r="CZ41" i="5"/>
  <c r="DA41" i="5"/>
  <c r="K41" i="5" s="1"/>
  <c r="CY41" i="5"/>
  <c r="I41" i="5" s="1"/>
  <c r="CZ34" i="5"/>
  <c r="DB41" i="5"/>
  <c r="H41" i="5" s="1"/>
  <c r="AJ41" i="5" s="1"/>
  <c r="AZ41" i="5" s="1"/>
  <c r="AU41" i="5" s="1"/>
  <c r="AV41" i="5" s="1"/>
  <c r="BB41" i="5" s="1"/>
  <c r="DB42" i="5"/>
  <c r="CZ29" i="5"/>
  <c r="H29" i="5" s="1"/>
  <c r="AJ29" i="5" s="1"/>
  <c r="AZ29" i="5" s="1"/>
  <c r="AU29" i="5" s="1"/>
  <c r="AV29" i="5" s="1"/>
  <c r="BB29" i="5" s="1"/>
  <c r="CZ32" i="5"/>
  <c r="DB28" i="5"/>
  <c r="CZ40" i="5"/>
  <c r="DB40" i="5"/>
  <c r="CZ37" i="5"/>
  <c r="DB37" i="5"/>
  <c r="CZ39" i="5"/>
  <c r="DB39" i="5"/>
  <c r="DB38" i="5"/>
  <c r="CZ38" i="5"/>
  <c r="CZ36" i="5"/>
  <c r="DB36" i="5"/>
  <c r="DB33" i="5"/>
  <c r="CZ33" i="5"/>
  <c r="DB35" i="5"/>
  <c r="CZ35" i="5"/>
  <c r="DB30" i="5"/>
  <c r="CZ30" i="5"/>
  <c r="CZ24" i="5"/>
  <c r="DB24" i="5"/>
  <c r="CZ23" i="5"/>
  <c r="DB23" i="5"/>
  <c r="DB22" i="5"/>
  <c r="CZ22" i="5"/>
  <c r="G131" i="4"/>
  <c r="H130" i="4"/>
  <c r="I130" i="4" s="1"/>
  <c r="G122" i="4"/>
  <c r="H121" i="4"/>
  <c r="MA4" i="1"/>
  <c r="LX4" i="1"/>
  <c r="LU4" i="1"/>
  <c r="LR4" i="1"/>
  <c r="LO4" i="1"/>
  <c r="LL4" i="1"/>
  <c r="LI4" i="1"/>
  <c r="LF4" i="1"/>
  <c r="LC4" i="1"/>
  <c r="KZ4" i="1"/>
  <c r="KW4" i="1"/>
  <c r="KT4" i="1"/>
  <c r="KQ4" i="1"/>
  <c r="KN4" i="1"/>
  <c r="HR4" i="1" a="1"/>
  <c r="HR4" i="1" s="1"/>
  <c r="HS4" i="1" s="1"/>
  <c r="HR3" i="1" a="1"/>
  <c r="HR3" i="1" s="1"/>
  <c r="HS3" i="1" s="1"/>
  <c r="HM4" i="1"/>
  <c r="HN4" i="1" s="1"/>
  <c r="HE4" i="1"/>
  <c r="HG4" i="1" s="1"/>
  <c r="HD4" i="1"/>
  <c r="BJ4" i="1"/>
  <c r="AY4" i="1"/>
  <c r="AY3" i="1"/>
  <c r="BX3" i="1"/>
  <c r="BJ3" i="1"/>
  <c r="D122" i="3"/>
  <c r="U4" i="1"/>
  <c r="N4" i="1"/>
  <c r="P4" i="1" s="1"/>
  <c r="J230" i="3"/>
  <c r="J229" i="3"/>
  <c r="J228" i="3"/>
  <c r="J227" i="3"/>
  <c r="J226" i="3"/>
  <c r="J231" i="3" s="1"/>
  <c r="S224" i="3"/>
  <c r="J224" i="3"/>
  <c r="S223" i="3"/>
  <c r="J223" i="3"/>
  <c r="T222" i="3"/>
  <c r="S222" i="3"/>
  <c r="J222" i="3"/>
  <c r="S221" i="3"/>
  <c r="J221" i="3"/>
  <c r="S220" i="3"/>
  <c r="J220" i="3"/>
  <c r="S219" i="3"/>
  <c r="J219" i="3"/>
  <c r="S218" i="3"/>
  <c r="J218" i="3"/>
  <c r="AB217" i="3"/>
  <c r="AC217" i="3" s="1"/>
  <c r="AD217" i="3" s="1"/>
  <c r="S217" i="3"/>
  <c r="J217" i="3"/>
  <c r="J225" i="3" s="1"/>
  <c r="O216" i="3"/>
  <c r="G197" i="3"/>
  <c r="J195" i="3"/>
  <c r="K195" i="3" s="1"/>
  <c r="J194" i="3"/>
  <c r="K194" i="3" s="1"/>
  <c r="K193" i="3"/>
  <c r="J193" i="3"/>
  <c r="K192" i="3"/>
  <c r="K191" i="3"/>
  <c r="K190" i="3"/>
  <c r="K189" i="3"/>
  <c r="K188" i="3"/>
  <c r="K187" i="3"/>
  <c r="K186" i="3"/>
  <c r="K185" i="3"/>
  <c r="J185" i="3"/>
  <c r="H185" i="3"/>
  <c r="I185" i="3" s="1"/>
  <c r="J184" i="3"/>
  <c r="K184" i="3" s="1"/>
  <c r="J183" i="3"/>
  <c r="K183" i="3" s="1"/>
  <c r="D182" i="3"/>
  <c r="J182" i="3" s="1"/>
  <c r="K182" i="3" s="1"/>
  <c r="D181" i="3"/>
  <c r="J181" i="3" s="1"/>
  <c r="K181" i="3" s="1"/>
  <c r="D180" i="3"/>
  <c r="J180" i="3" s="1"/>
  <c r="K180" i="3" s="1"/>
  <c r="J179" i="3"/>
  <c r="K179" i="3" s="1"/>
  <c r="D179" i="3"/>
  <c r="J178" i="3"/>
  <c r="K178" i="3" s="1"/>
  <c r="D178" i="3"/>
  <c r="D177" i="3"/>
  <c r="J177" i="3" s="1"/>
  <c r="K177" i="3" s="1"/>
  <c r="J176" i="3"/>
  <c r="K176" i="3" s="1"/>
  <c r="J175" i="3"/>
  <c r="K175" i="3" s="1"/>
  <c r="J174" i="3"/>
  <c r="K174" i="3" s="1"/>
  <c r="E165" i="3"/>
  <c r="G184" i="3" s="1"/>
  <c r="H184" i="3" s="1"/>
  <c r="I184" i="3" s="1"/>
  <c r="D159" i="3"/>
  <c r="G153" i="3"/>
  <c r="M151" i="3"/>
  <c r="J151" i="3"/>
  <c r="K151" i="3" s="1"/>
  <c r="M150" i="3"/>
  <c r="K150" i="3"/>
  <c r="J150" i="3"/>
  <c r="M149" i="3"/>
  <c r="J149" i="3"/>
  <c r="K149" i="3" s="1"/>
  <c r="M148" i="3"/>
  <c r="M152" i="3" s="1"/>
  <c r="N152" i="3" s="1"/>
  <c r="K148" i="3"/>
  <c r="K147" i="3"/>
  <c r="K146" i="3"/>
  <c r="K145" i="3"/>
  <c r="K144" i="3"/>
  <c r="K143" i="3"/>
  <c r="K142" i="3"/>
  <c r="J141" i="3"/>
  <c r="K141" i="3" s="1"/>
  <c r="H141" i="3"/>
  <c r="I141" i="3" s="1"/>
  <c r="J140" i="3"/>
  <c r="K140" i="3" s="1"/>
  <c r="H140" i="3"/>
  <c r="I140" i="3" s="1"/>
  <c r="J139" i="3"/>
  <c r="K139" i="3" s="1"/>
  <c r="J138" i="3"/>
  <c r="K138" i="3" s="1"/>
  <c r="D138" i="3"/>
  <c r="D137" i="3"/>
  <c r="J137" i="3" s="1"/>
  <c r="K137" i="3" s="1"/>
  <c r="D136" i="3"/>
  <c r="J136" i="3" s="1"/>
  <c r="K136" i="3" s="1"/>
  <c r="D135" i="3"/>
  <c r="J135" i="3" s="1"/>
  <c r="K135" i="3" s="1"/>
  <c r="D134" i="3"/>
  <c r="J134" i="3" s="1"/>
  <c r="K134" i="3" s="1"/>
  <c r="J133" i="3"/>
  <c r="K133" i="3" s="1"/>
  <c r="D133" i="3"/>
  <c r="J132" i="3"/>
  <c r="K132" i="3" s="1"/>
  <c r="K131" i="3"/>
  <c r="J131" i="3"/>
  <c r="J130" i="3"/>
  <c r="K130" i="3" s="1"/>
  <c r="E122" i="3"/>
  <c r="J116" i="3"/>
  <c r="J115" i="3"/>
  <c r="J114" i="3"/>
  <c r="J113" i="3"/>
  <c r="J112" i="3"/>
  <c r="J117" i="3" s="1"/>
  <c r="J118" i="3" s="1"/>
  <c r="J110" i="3"/>
  <c r="J109" i="3"/>
  <c r="J108" i="3"/>
  <c r="J107" i="3"/>
  <c r="J111" i="3" s="1"/>
  <c r="J106" i="3"/>
  <c r="J105" i="3"/>
  <c r="J104" i="3"/>
  <c r="J103" i="3"/>
  <c r="O90" i="3"/>
  <c r="N76" i="3"/>
  <c r="O76" i="3" s="1"/>
  <c r="M76" i="3"/>
  <c r="O75" i="3"/>
  <c r="O74" i="3"/>
  <c r="O73" i="3"/>
  <c r="O72" i="3"/>
  <c r="O71" i="3"/>
  <c r="G71" i="3"/>
  <c r="J69" i="3"/>
  <c r="K69" i="3" s="1"/>
  <c r="K68" i="3"/>
  <c r="J68" i="3"/>
  <c r="K67" i="3"/>
  <c r="J67" i="3"/>
  <c r="K66" i="3"/>
  <c r="K65" i="3"/>
  <c r="K64" i="3"/>
  <c r="K63" i="3"/>
  <c r="K62" i="3"/>
  <c r="K61" i="3"/>
  <c r="K60" i="3"/>
  <c r="P59" i="3"/>
  <c r="J59" i="3"/>
  <c r="K59" i="3" s="1"/>
  <c r="H59" i="3"/>
  <c r="I59" i="3" s="1"/>
  <c r="P58" i="3"/>
  <c r="P60" i="3" s="1"/>
  <c r="J58" i="3"/>
  <c r="K58" i="3" s="1"/>
  <c r="H58" i="3"/>
  <c r="I58" i="3" s="1"/>
  <c r="N60" i="3" s="1"/>
  <c r="R60" i="3" s="1"/>
  <c r="P57" i="3"/>
  <c r="J57" i="3"/>
  <c r="K57" i="3" s="1"/>
  <c r="P56" i="3"/>
  <c r="H56" i="3"/>
  <c r="I56" i="3" s="1"/>
  <c r="D56" i="3"/>
  <c r="J56" i="3" s="1"/>
  <c r="K56" i="3" s="1"/>
  <c r="P55" i="3"/>
  <c r="H55" i="3"/>
  <c r="I55" i="3" s="1"/>
  <c r="D55" i="3"/>
  <c r="J55" i="3" s="1"/>
  <c r="K55" i="3" s="1"/>
  <c r="P54" i="3"/>
  <c r="I54" i="3"/>
  <c r="H54" i="3"/>
  <c r="D54" i="3"/>
  <c r="J54" i="3" s="1"/>
  <c r="K54" i="3" s="1"/>
  <c r="P53" i="3"/>
  <c r="I53" i="3"/>
  <c r="H53" i="3"/>
  <c r="D53" i="3"/>
  <c r="J53" i="3" s="1"/>
  <c r="K53" i="3" s="1"/>
  <c r="P52" i="3"/>
  <c r="J52" i="3"/>
  <c r="K52" i="3" s="1"/>
  <c r="H52" i="3"/>
  <c r="I52" i="3" s="1"/>
  <c r="D52" i="3"/>
  <c r="P51" i="3"/>
  <c r="H51" i="3"/>
  <c r="I51" i="3" s="1"/>
  <c r="D51" i="3"/>
  <c r="J51" i="3" s="1"/>
  <c r="K51" i="3" s="1"/>
  <c r="P50" i="3"/>
  <c r="K50" i="3"/>
  <c r="J50" i="3"/>
  <c r="H50" i="3"/>
  <c r="I50" i="3" s="1"/>
  <c r="P49" i="3"/>
  <c r="J49" i="3"/>
  <c r="K49" i="3" s="1"/>
  <c r="I49" i="3"/>
  <c r="H49" i="3"/>
  <c r="P48" i="3"/>
  <c r="J48" i="3"/>
  <c r="K48" i="3" s="1"/>
  <c r="H48" i="3"/>
  <c r="I48" i="3" s="1"/>
  <c r="F42" i="3"/>
  <c r="F41" i="3"/>
  <c r="F43" i="3" s="1"/>
  <c r="F40" i="3"/>
  <c r="G39" i="3"/>
  <c r="I38" i="3"/>
  <c r="H38" i="3"/>
  <c r="H39" i="3" s="1"/>
  <c r="F39" i="3" s="1"/>
  <c r="F38" i="3"/>
  <c r="E29" i="3"/>
  <c r="P21" i="3"/>
  <c r="G20" i="3"/>
  <c r="N18" i="3"/>
  <c r="E18" i="3"/>
  <c r="Q17" i="3"/>
  <c r="S17" i="3" s="1"/>
  <c r="E17" i="3"/>
  <c r="E10" i="3"/>
  <c r="CY25" i="5" l="1"/>
  <c r="I25" i="5" s="1"/>
  <c r="H25" i="5" s="1"/>
  <c r="AJ25" i="5" s="1"/>
  <c r="AZ25" i="5" s="1"/>
  <c r="AU25" i="5" s="1"/>
  <c r="AV25" i="5" s="1"/>
  <c r="BB25" i="5" s="1"/>
  <c r="CZ25" i="5"/>
  <c r="CZ31" i="5"/>
  <c r="CY27" i="5"/>
  <c r="I27" i="5" s="1"/>
  <c r="H27" i="5" s="1"/>
  <c r="AJ27" i="5" s="1"/>
  <c r="AZ27" i="5" s="1"/>
  <c r="AU27" i="5" s="1"/>
  <c r="AV27" i="5" s="1"/>
  <c r="BB27" i="5" s="1"/>
  <c r="H34" i="5"/>
  <c r="AJ34" i="5" s="1"/>
  <c r="AZ34" i="5" s="1"/>
  <c r="AU34" i="5" s="1"/>
  <c r="AV34" i="5" s="1"/>
  <c r="BB34" i="5" s="1"/>
  <c r="DB27" i="5"/>
  <c r="CY31" i="5"/>
  <c r="I31" i="5" s="1"/>
  <c r="H31" i="5" s="1"/>
  <c r="AJ31" i="5" s="1"/>
  <c r="AZ31" i="5" s="1"/>
  <c r="AU31" i="5" s="1"/>
  <c r="AV31" i="5" s="1"/>
  <c r="BB31" i="5" s="1"/>
  <c r="DB31" i="5"/>
  <c r="H28" i="5"/>
  <c r="AJ28" i="5" s="1"/>
  <c r="AZ28" i="5" s="1"/>
  <c r="AU28" i="5" s="1"/>
  <c r="AV28" i="5" s="1"/>
  <c r="BB28" i="5" s="1"/>
  <c r="H32" i="5"/>
  <c r="AJ32" i="5" s="1"/>
  <c r="AZ32" i="5" s="1"/>
  <c r="AU32" i="5" s="1"/>
  <c r="AV32" i="5" s="1"/>
  <c r="BB32" i="5" s="1"/>
  <c r="H42" i="5"/>
  <c r="AJ42" i="5" s="1"/>
  <c r="AZ42" i="5" s="1"/>
  <c r="AU42" i="5" s="1"/>
  <c r="AV42" i="5" s="1"/>
  <c r="BB42" i="5" s="1"/>
  <c r="H35" i="5"/>
  <c r="AJ35" i="5" s="1"/>
  <c r="AZ35" i="5" s="1"/>
  <c r="AU35" i="5" s="1"/>
  <c r="AV35" i="5" s="1"/>
  <c r="BB35" i="5" s="1"/>
  <c r="H33" i="5"/>
  <c r="AJ33" i="5" s="1"/>
  <c r="AZ33" i="5" s="1"/>
  <c r="AU33" i="5" s="1"/>
  <c r="AV33" i="5" s="1"/>
  <c r="BB33" i="5" s="1"/>
  <c r="H30" i="5"/>
  <c r="AJ30" i="5" s="1"/>
  <c r="AZ30" i="5" s="1"/>
  <c r="AU30" i="5" s="1"/>
  <c r="AV30" i="5" s="1"/>
  <c r="BB30" i="5" s="1"/>
  <c r="H38" i="5"/>
  <c r="AJ38" i="5" s="1"/>
  <c r="AZ38" i="5" s="1"/>
  <c r="AU38" i="5" s="1"/>
  <c r="AV38" i="5" s="1"/>
  <c r="BB38" i="5" s="1"/>
  <c r="H22" i="5"/>
  <c r="AJ22" i="5" s="1"/>
  <c r="AZ22" i="5" s="1"/>
  <c r="AU22" i="5" s="1"/>
  <c r="AV22" i="5" s="1"/>
  <c r="BB22" i="5" s="1"/>
  <c r="H37" i="5"/>
  <c r="AJ37" i="5" s="1"/>
  <c r="AZ37" i="5" s="1"/>
  <c r="AU37" i="5" s="1"/>
  <c r="AV37" i="5" s="1"/>
  <c r="BB37" i="5" s="1"/>
  <c r="H39" i="5"/>
  <c r="AJ39" i="5" s="1"/>
  <c r="AZ39" i="5" s="1"/>
  <c r="AU39" i="5" s="1"/>
  <c r="AV39" i="5" s="1"/>
  <c r="BB39" i="5" s="1"/>
  <c r="H40" i="5"/>
  <c r="AJ40" i="5" s="1"/>
  <c r="AZ40" i="5" s="1"/>
  <c r="AU40" i="5" s="1"/>
  <c r="AV40" i="5" s="1"/>
  <c r="BB40" i="5" s="1"/>
  <c r="H36" i="5"/>
  <c r="AJ36" i="5" s="1"/>
  <c r="AZ36" i="5" s="1"/>
  <c r="AU36" i="5" s="1"/>
  <c r="AV36" i="5" s="1"/>
  <c r="BB36" i="5" s="1"/>
  <c r="H24" i="5"/>
  <c r="AJ24" i="5" s="1"/>
  <c r="AZ24" i="5" s="1"/>
  <c r="AU24" i="5" s="1"/>
  <c r="AV24" i="5" s="1"/>
  <c r="BB24" i="5" s="1"/>
  <c r="H23" i="5"/>
  <c r="AJ23" i="5" s="1"/>
  <c r="AZ23" i="5" s="1"/>
  <c r="AU23" i="5" s="1"/>
  <c r="AV23" i="5" s="1"/>
  <c r="BB23" i="5" s="1"/>
  <c r="I121" i="4"/>
  <c r="O171" i="4"/>
  <c r="H122" i="4"/>
  <c r="I122" i="4" s="1"/>
  <c r="G123" i="4"/>
  <c r="H131" i="4"/>
  <c r="I131" i="4" s="1"/>
  <c r="G132" i="4"/>
  <c r="HO3" i="1"/>
  <c r="HO4" i="1"/>
  <c r="HP4" i="1" s="1"/>
  <c r="JN4" i="1" s="1"/>
  <c r="BZ4" i="1"/>
  <c r="HH4" i="1" s="1"/>
  <c r="E206" i="3"/>
  <c r="E159" i="3"/>
  <c r="K154" i="3"/>
  <c r="K78" i="3"/>
  <c r="D202" i="3" s="1"/>
  <c r="L19" i="3"/>
  <c r="J232" i="3"/>
  <c r="E124" i="3"/>
  <c r="E166" i="3" s="1"/>
  <c r="C202" i="3" s="1"/>
  <c r="E202" i="3" s="1"/>
  <c r="P76" i="3"/>
  <c r="Q76" i="3"/>
  <c r="K198" i="3"/>
  <c r="N57" i="3"/>
  <c r="R57" i="3" s="1"/>
  <c r="G130" i="3" s="1"/>
  <c r="I72" i="3"/>
  <c r="K72" i="3"/>
  <c r="M77" i="3" s="1"/>
  <c r="F122" i="3"/>
  <c r="KO4" i="1" l="1"/>
  <c r="KP4" i="1" s="1"/>
  <c r="KX4" i="1"/>
  <c r="KY4" i="1" s="1"/>
  <c r="KU4" i="1"/>
  <c r="KV4" i="1" s="1"/>
  <c r="KR4" i="1"/>
  <c r="KS4" i="1" s="1"/>
  <c r="LV4" i="1"/>
  <c r="LW4" i="1" s="1"/>
  <c r="LG4" i="1"/>
  <c r="LH4" i="1" s="1"/>
  <c r="LD4" i="1"/>
  <c r="LE4" i="1" s="1"/>
  <c r="LA4" i="1"/>
  <c r="LB4" i="1" s="1"/>
  <c r="LJ4" i="1"/>
  <c r="LK4" i="1" s="1"/>
  <c r="LP4" i="1"/>
  <c r="LQ4" i="1" s="1"/>
  <c r="LS4" i="1"/>
  <c r="LT4" i="1" s="1"/>
  <c r="LM4" i="1"/>
  <c r="LN4" i="1" s="1"/>
  <c r="MB4" i="1"/>
  <c r="MC4" i="1" s="1"/>
  <c r="LY4" i="1"/>
  <c r="LZ4" i="1" s="1"/>
  <c r="G133" i="4"/>
  <c r="H132" i="4"/>
  <c r="I132" i="4" s="1"/>
  <c r="G124" i="4"/>
  <c r="H123" i="4"/>
  <c r="I123" i="4" s="1"/>
  <c r="II4" i="1"/>
  <c r="IJ4" i="1" s="1"/>
  <c r="KK4" i="1" s="1"/>
  <c r="KL4" i="1" s="1"/>
  <c r="KM4" i="1" s="1"/>
  <c r="IE4" i="1"/>
  <c r="IF4" i="1" s="1"/>
  <c r="KE4" i="1" s="1"/>
  <c r="KF4" i="1" s="1"/>
  <c r="KG4" i="1" s="1"/>
  <c r="IC4" i="1"/>
  <c r="ID4" i="1" s="1"/>
  <c r="KB4" i="1" s="1"/>
  <c r="KC4" i="1" s="1"/>
  <c r="KD4" i="1" s="1"/>
  <c r="HW4" i="1"/>
  <c r="HX4" i="1" s="1"/>
  <c r="JS4" i="1" s="1"/>
  <c r="JT4" i="1" s="1"/>
  <c r="JU4" i="1" s="1"/>
  <c r="IG4" i="1"/>
  <c r="IH4" i="1" s="1"/>
  <c r="KH4" i="1" s="1"/>
  <c r="KI4" i="1" s="1"/>
  <c r="KJ4" i="1" s="1"/>
  <c r="IA4" i="1"/>
  <c r="IB4" i="1" s="1"/>
  <c r="JY4" i="1" s="1"/>
  <c r="JZ4" i="1" s="1"/>
  <c r="KA4" i="1" s="1"/>
  <c r="HU4" i="1"/>
  <c r="HV4" i="1" s="1"/>
  <c r="JP4" i="1" s="1"/>
  <c r="JQ4" i="1" s="1"/>
  <c r="JR4" i="1" s="1"/>
  <c r="HY4" i="1"/>
  <c r="HZ4" i="1" s="1"/>
  <c r="JV4" i="1" s="1"/>
  <c r="JW4" i="1" s="1"/>
  <c r="JX4" i="1" s="1"/>
  <c r="F202" i="3"/>
  <c r="G202" i="3"/>
  <c r="D206" i="3" s="1"/>
  <c r="E164" i="3"/>
  <c r="G174" i="3" s="1"/>
  <c r="H130" i="3"/>
  <c r="I130" i="3" s="1"/>
  <c r="G131" i="3"/>
  <c r="ME4" i="1" l="1"/>
  <c r="G125" i="4"/>
  <c r="H124" i="4"/>
  <c r="I124" i="4" s="1"/>
  <c r="G134" i="4"/>
  <c r="H134" i="4" s="1"/>
  <c r="I134" i="4" s="1"/>
  <c r="H133" i="4"/>
  <c r="I133" i="4" s="1"/>
  <c r="G132" i="3"/>
  <c r="H131" i="3"/>
  <c r="I131" i="3" s="1"/>
  <c r="G175" i="3"/>
  <c r="H174" i="3"/>
  <c r="I174" i="3" s="1"/>
  <c r="G126" i="4" l="1"/>
  <c r="H126" i="4" s="1"/>
  <c r="I126" i="4" s="1"/>
  <c r="H125" i="4"/>
  <c r="I125" i="4" s="1"/>
  <c r="I150" i="4" s="1"/>
  <c r="C159" i="4" s="1"/>
  <c r="F159" i="4" s="1"/>
  <c r="H175" i="3"/>
  <c r="I175" i="3" s="1"/>
  <c r="G176" i="3"/>
  <c r="H132" i="3"/>
  <c r="I132" i="3" s="1"/>
  <c r="G133" i="3"/>
  <c r="M174" i="4" l="1"/>
  <c r="Q174" i="4" s="1"/>
  <c r="V174" i="4" s="1"/>
  <c r="X174" i="4" s="1"/>
  <c r="M173" i="4"/>
  <c r="Q173" i="4" s="1"/>
  <c r="V173" i="4" s="1"/>
  <c r="X173" i="4" s="1"/>
  <c r="M172" i="4"/>
  <c r="Q172" i="4" s="1"/>
  <c r="V172" i="4" s="1"/>
  <c r="X172" i="4" s="1"/>
  <c r="M175" i="4"/>
  <c r="Q175" i="4" s="1"/>
  <c r="V175" i="4" s="1"/>
  <c r="X175" i="4" s="1"/>
  <c r="M171" i="4"/>
  <c r="Q171" i="4" s="1"/>
  <c r="V171" i="4" s="1"/>
  <c r="X171" i="4" s="1"/>
  <c r="Y171" i="4" s="1"/>
  <c r="G177" i="3"/>
  <c r="H176" i="3"/>
  <c r="H133" i="3"/>
  <c r="I133" i="3" s="1"/>
  <c r="G134" i="3"/>
  <c r="G135" i="3" l="1"/>
  <c r="H134" i="3"/>
  <c r="I134" i="3" s="1"/>
  <c r="H177" i="3"/>
  <c r="I177" i="3" s="1"/>
  <c r="G178" i="3"/>
  <c r="I176" i="3"/>
  <c r="O217" i="3"/>
  <c r="H178" i="3" l="1"/>
  <c r="I178" i="3" s="1"/>
  <c r="G179" i="3"/>
  <c r="H135" i="3"/>
  <c r="I135" i="3" s="1"/>
  <c r="G136" i="3"/>
  <c r="H136" i="3" l="1"/>
  <c r="I136" i="3" s="1"/>
  <c r="G137" i="3"/>
  <c r="H179" i="3"/>
  <c r="I179" i="3" s="1"/>
  <c r="G180" i="3"/>
  <c r="G181" i="3" l="1"/>
  <c r="H180" i="3"/>
  <c r="I180" i="3" s="1"/>
  <c r="G138" i="3"/>
  <c r="H138" i="3" s="1"/>
  <c r="I138" i="3" s="1"/>
  <c r="H137" i="3"/>
  <c r="I137" i="3" s="1"/>
  <c r="I154" i="3" l="1"/>
  <c r="C159" i="3" s="1"/>
  <c r="F159" i="3" s="1"/>
  <c r="G182" i="3"/>
  <c r="H182" i="3" s="1"/>
  <c r="I182" i="3" s="1"/>
  <c r="H181" i="3"/>
  <c r="I181" i="3" s="1"/>
  <c r="I198" i="3" l="1"/>
  <c r="C206" i="3" s="1"/>
  <c r="F206" i="3" s="1"/>
  <c r="HM3" i="1"/>
  <c r="HN3" i="1" s="1"/>
  <c r="E206" i="2"/>
  <c r="R205" i="2"/>
  <c r="HC3" i="1" s="1"/>
  <c r="G205" i="2"/>
  <c r="R204" i="2"/>
  <c r="GW3" i="1" s="1"/>
  <c r="G204" i="2"/>
  <c r="R203" i="2"/>
  <c r="GQ3" i="1" s="1"/>
  <c r="G203" i="2"/>
  <c r="R202" i="2"/>
  <c r="GK3" i="1" s="1"/>
  <c r="G202" i="2"/>
  <c r="R201" i="2"/>
  <c r="GE3" i="1" s="1"/>
  <c r="G201" i="2"/>
  <c r="R200" i="2"/>
  <c r="FY3" i="1" s="1"/>
  <c r="G200" i="2"/>
  <c r="R199" i="2"/>
  <c r="FS3" i="1" s="1"/>
  <c r="G199" i="2"/>
  <c r="R198" i="2"/>
  <c r="FM3" i="1" s="1"/>
  <c r="G198" i="2"/>
  <c r="R197" i="2"/>
  <c r="FG3" i="1" s="1"/>
  <c r="G197" i="2"/>
  <c r="R196" i="2"/>
  <c r="FA3" i="1" s="1"/>
  <c r="G196" i="2"/>
  <c r="R195" i="2"/>
  <c r="EU3" i="1" s="1"/>
  <c r="G195" i="2"/>
  <c r="R194" i="2"/>
  <c r="EO3" i="1" s="1"/>
  <c r="G194" i="2"/>
  <c r="R193" i="2"/>
  <c r="EI3" i="1" s="1"/>
  <c r="G193" i="2"/>
  <c r="R192" i="2"/>
  <c r="EC3" i="1" s="1"/>
  <c r="G192" i="2"/>
  <c r="R191" i="2"/>
  <c r="DW3" i="1" s="1"/>
  <c r="G191" i="2"/>
  <c r="R190" i="2"/>
  <c r="DQ3" i="1" s="1"/>
  <c r="G190" i="2"/>
  <c r="R189" i="2"/>
  <c r="DK3" i="1" s="1"/>
  <c r="G189" i="2"/>
  <c r="R188" i="2"/>
  <c r="DE3" i="1" s="1"/>
  <c r="G188" i="2"/>
  <c r="R187" i="2"/>
  <c r="CY3" i="1" s="1"/>
  <c r="G187" i="2"/>
  <c r="R186" i="2"/>
  <c r="CS3" i="1" s="1"/>
  <c r="G186" i="2"/>
  <c r="R185" i="2"/>
  <c r="CM3" i="1" s="1"/>
  <c r="G185" i="2"/>
  <c r="Z184" i="2"/>
  <c r="AA184" i="2" s="1"/>
  <c r="AB184" i="2" s="1"/>
  <c r="R184" i="2"/>
  <c r="CG3" i="1" s="1"/>
  <c r="G184" i="2"/>
  <c r="G206" i="2" s="1"/>
  <c r="G208" i="2" s="1"/>
  <c r="H207" i="2" s="1"/>
  <c r="L182" i="2"/>
  <c r="K182" i="2"/>
  <c r="C170" i="2"/>
  <c r="F163" i="2"/>
  <c r="F162" i="2"/>
  <c r="H160" i="2"/>
  <c r="G160" i="2"/>
  <c r="F160" i="2"/>
  <c r="J157" i="2"/>
  <c r="J158" i="2" s="1"/>
  <c r="G157" i="2"/>
  <c r="J154" i="2"/>
  <c r="J155" i="2" s="1"/>
  <c r="G154" i="2"/>
  <c r="F154" i="2"/>
  <c r="D141" i="2"/>
  <c r="H134" i="2"/>
  <c r="H162" i="2" s="1"/>
  <c r="I162" i="2" s="1"/>
  <c r="K162" i="2" s="1"/>
  <c r="G134" i="2"/>
  <c r="G162" i="2" s="1"/>
  <c r="F134" i="2"/>
  <c r="G133" i="2"/>
  <c r="G161" i="2" s="1"/>
  <c r="F133" i="2"/>
  <c r="F161" i="2" s="1"/>
  <c r="F131" i="2"/>
  <c r="F159" i="2" s="1"/>
  <c r="H130" i="2"/>
  <c r="H158" i="2" s="1"/>
  <c r="G130" i="2"/>
  <c r="G158" i="2" s="1"/>
  <c r="G129" i="2"/>
  <c r="K68" i="2" s="1"/>
  <c r="F129" i="2"/>
  <c r="M68" i="2" s="1"/>
  <c r="I127" i="2"/>
  <c r="H127" i="2"/>
  <c r="H155" i="2" s="1"/>
  <c r="G127" i="2"/>
  <c r="G155" i="2" s="1"/>
  <c r="H126" i="2"/>
  <c r="L65" i="2" s="1"/>
  <c r="G126" i="2"/>
  <c r="F126" i="2"/>
  <c r="E121" i="2"/>
  <c r="F119" i="2"/>
  <c r="E119" i="2"/>
  <c r="D119" i="2"/>
  <c r="D170" i="2" s="1"/>
  <c r="E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113" i="2" s="1"/>
  <c r="G115" i="2" s="1"/>
  <c r="P78" i="2"/>
  <c r="N77" i="2"/>
  <c r="P76" i="2"/>
  <c r="M73" i="2"/>
  <c r="L73" i="2"/>
  <c r="R73" i="2" s="1"/>
  <c r="K73" i="2"/>
  <c r="K72" i="2"/>
  <c r="M70" i="2"/>
  <c r="P70" i="2" s="1"/>
  <c r="L69" i="2"/>
  <c r="O66" i="2"/>
  <c r="L66" i="2"/>
  <c r="K66" i="2"/>
  <c r="M65" i="2"/>
  <c r="K65" i="2"/>
  <c r="W63" i="2"/>
  <c r="F54" i="2"/>
  <c r="I41" i="2"/>
  <c r="E57" i="2" s="1"/>
  <c r="E59" i="2" s="1"/>
  <c r="E61" i="2" s="1"/>
  <c r="H41" i="2"/>
  <c r="E55" i="2" s="1"/>
  <c r="G55" i="2" s="1"/>
  <c r="G41" i="2"/>
  <c r="E54" i="2" s="1"/>
  <c r="G54" i="2" s="1"/>
  <c r="F41" i="2"/>
  <c r="I39" i="2"/>
  <c r="I37" i="2" s="1"/>
  <c r="F128" i="2" s="1"/>
  <c r="G38" i="2"/>
  <c r="F37" i="2"/>
  <c r="F38" i="2" s="1"/>
  <c r="H38" i="2" s="1"/>
  <c r="F130" i="2" s="1"/>
  <c r="E30" i="2"/>
  <c r="E19" i="2"/>
  <c r="E18" i="2"/>
  <c r="E17" i="2"/>
  <c r="E20" i="2" s="1"/>
  <c r="E10" i="2"/>
  <c r="U3" i="1"/>
  <c r="HE3" i="1"/>
  <c r="HG3" i="1" s="1"/>
  <c r="HD3" i="1"/>
  <c r="M224" i="3" l="1"/>
  <c r="Q224" i="3" s="1"/>
  <c r="V224" i="3" s="1"/>
  <c r="X224" i="3" s="1"/>
  <c r="Y224" i="3" s="1"/>
  <c r="M218" i="3"/>
  <c r="Q218" i="3" s="1"/>
  <c r="V218" i="3" s="1"/>
  <c r="X218" i="3" s="1"/>
  <c r="Y218" i="3" s="1"/>
  <c r="M223" i="3"/>
  <c r="Q223" i="3" s="1"/>
  <c r="V223" i="3" s="1"/>
  <c r="X223" i="3" s="1"/>
  <c r="Y223" i="3" s="1"/>
  <c r="M221" i="3"/>
  <c r="Q221" i="3" s="1"/>
  <c r="V221" i="3" s="1"/>
  <c r="X221" i="3" s="1"/>
  <c r="Y221" i="3" s="1"/>
  <c r="M220" i="3"/>
  <c r="Q220" i="3" s="1"/>
  <c r="V220" i="3" s="1"/>
  <c r="X220" i="3" s="1"/>
  <c r="Y220" i="3" s="1"/>
  <c r="M217" i="3"/>
  <c r="Q217" i="3" s="1"/>
  <c r="V217" i="3" s="1"/>
  <c r="X217" i="3" s="1"/>
  <c r="Y217" i="3" s="1"/>
  <c r="M222" i="3"/>
  <c r="Q222" i="3" s="1"/>
  <c r="V222" i="3" s="1"/>
  <c r="X222" i="3" s="1"/>
  <c r="Y222" i="3" s="1"/>
  <c r="M219" i="3"/>
  <c r="Q219" i="3" s="1"/>
  <c r="V219" i="3" s="1"/>
  <c r="X219" i="3" s="1"/>
  <c r="Y219" i="3" s="1"/>
  <c r="HP3" i="1"/>
  <c r="JN3" i="1" s="1"/>
  <c r="BZ3" i="1"/>
  <c r="HH3" i="1" s="1"/>
  <c r="F156" i="2"/>
  <c r="M67" i="2"/>
  <c r="P67" i="2" s="1"/>
  <c r="O65" i="2"/>
  <c r="P65" i="2" s="1"/>
  <c r="R65" i="2"/>
  <c r="P20" i="2"/>
  <c r="E46" i="2"/>
  <c r="E48" i="2" s="1"/>
  <c r="J156" i="2"/>
  <c r="I155" i="2"/>
  <c r="E174" i="2"/>
  <c r="E141" i="2"/>
  <c r="H114" i="2"/>
  <c r="I158" i="2"/>
  <c r="J159" i="2"/>
  <c r="E170" i="2"/>
  <c r="F158" i="2"/>
  <c r="M69" i="2"/>
  <c r="R69" i="2" s="1"/>
  <c r="M72" i="2"/>
  <c r="H133" i="2"/>
  <c r="H129" i="2"/>
  <c r="H154" i="2"/>
  <c r="I154" i="2" s="1"/>
  <c r="K154" i="2" s="1"/>
  <c r="F157" i="2"/>
  <c r="K69" i="2"/>
  <c r="I126" i="2"/>
  <c r="K126" i="2" s="1"/>
  <c r="O69" i="2"/>
  <c r="I134" i="2"/>
  <c r="K134" i="2" s="1"/>
  <c r="H37" i="2"/>
  <c r="F127" i="2" s="1"/>
  <c r="O73" i="2"/>
  <c r="P73" i="2" s="1"/>
  <c r="I130" i="2"/>
  <c r="K130" i="2" s="1"/>
  <c r="N3" i="1"/>
  <c r="O3" i="1"/>
  <c r="Y226" i="3" l="1"/>
  <c r="IY3" i="1"/>
  <c r="IZ3" i="1" s="1"/>
  <c r="LI3" i="1" s="1"/>
  <c r="LJ3" i="1" s="1"/>
  <c r="LK3" i="1" s="1"/>
  <c r="II3" i="1"/>
  <c r="IJ3" i="1" s="1"/>
  <c r="KK3" i="1" s="1"/>
  <c r="KL3" i="1" s="1"/>
  <c r="KM3" i="1" s="1"/>
  <c r="IW3" i="1"/>
  <c r="IX3" i="1" s="1"/>
  <c r="LF3" i="1" s="1"/>
  <c r="LG3" i="1" s="1"/>
  <c r="LH3" i="1" s="1"/>
  <c r="IG3" i="1"/>
  <c r="IH3" i="1" s="1"/>
  <c r="KH3" i="1" s="1"/>
  <c r="KI3" i="1" s="1"/>
  <c r="KJ3" i="1" s="1"/>
  <c r="HY3" i="1"/>
  <c r="HZ3" i="1" s="1"/>
  <c r="JV3" i="1" s="1"/>
  <c r="JW3" i="1" s="1"/>
  <c r="JX3" i="1" s="1"/>
  <c r="IC3" i="1"/>
  <c r="ID3" i="1" s="1"/>
  <c r="KB3" i="1" s="1"/>
  <c r="KC3" i="1" s="1"/>
  <c r="KD3" i="1" s="1"/>
  <c r="IQ3" i="1"/>
  <c r="IR3" i="1" s="1"/>
  <c r="KW3" i="1" s="1"/>
  <c r="KX3" i="1" s="1"/>
  <c r="KY3" i="1" s="1"/>
  <c r="IM3" i="1"/>
  <c r="IN3" i="1" s="1"/>
  <c r="KQ3" i="1" s="1"/>
  <c r="KR3" i="1" s="1"/>
  <c r="KS3" i="1" s="1"/>
  <c r="IK3" i="1"/>
  <c r="IL3" i="1" s="1"/>
  <c r="KN3" i="1" s="1"/>
  <c r="KO3" i="1" s="1"/>
  <c r="KP3" i="1" s="1"/>
  <c r="JK3" i="1"/>
  <c r="JL3" i="1" s="1"/>
  <c r="MA3" i="1" s="1"/>
  <c r="MB3" i="1" s="1"/>
  <c r="MC3" i="1" s="1"/>
  <c r="IU3" i="1"/>
  <c r="IV3" i="1" s="1"/>
  <c r="LC3" i="1" s="1"/>
  <c r="LD3" i="1" s="1"/>
  <c r="LE3" i="1" s="1"/>
  <c r="IE3" i="1"/>
  <c r="IF3" i="1" s="1"/>
  <c r="KE3" i="1" s="1"/>
  <c r="KF3" i="1" s="1"/>
  <c r="KG3" i="1" s="1"/>
  <c r="IS3" i="1"/>
  <c r="IT3" i="1" s="1"/>
  <c r="KZ3" i="1" s="1"/>
  <c r="LA3" i="1" s="1"/>
  <c r="LB3" i="1" s="1"/>
  <c r="IA3" i="1"/>
  <c r="IB3" i="1" s="1"/>
  <c r="JY3" i="1" s="1"/>
  <c r="JZ3" i="1" s="1"/>
  <c r="KA3" i="1" s="1"/>
  <c r="JI3" i="1"/>
  <c r="JJ3" i="1" s="1"/>
  <c r="LX3" i="1" s="1"/>
  <c r="LY3" i="1" s="1"/>
  <c r="LZ3" i="1" s="1"/>
  <c r="JC3" i="1"/>
  <c r="JD3" i="1" s="1"/>
  <c r="LO3" i="1" s="1"/>
  <c r="LP3" i="1" s="1"/>
  <c r="LQ3" i="1" s="1"/>
  <c r="JA3" i="1"/>
  <c r="JB3" i="1" s="1"/>
  <c r="LL3" i="1" s="1"/>
  <c r="LM3" i="1" s="1"/>
  <c r="LN3" i="1" s="1"/>
  <c r="JG3" i="1"/>
  <c r="JH3" i="1" s="1"/>
  <c r="LU3" i="1" s="1"/>
  <c r="LV3" i="1" s="1"/>
  <c r="LW3" i="1" s="1"/>
  <c r="JE3" i="1"/>
  <c r="JF3" i="1" s="1"/>
  <c r="LR3" i="1" s="1"/>
  <c r="LS3" i="1" s="1"/>
  <c r="LT3" i="1" s="1"/>
  <c r="IO3" i="1"/>
  <c r="IP3" i="1" s="1"/>
  <c r="KT3" i="1" s="1"/>
  <c r="KU3" i="1" s="1"/>
  <c r="KV3" i="1" s="1"/>
  <c r="HW3" i="1"/>
  <c r="HX3" i="1" s="1"/>
  <c r="JS3" i="1" s="1"/>
  <c r="JT3" i="1" s="1"/>
  <c r="JU3" i="1" s="1"/>
  <c r="HU3" i="1"/>
  <c r="HV3" i="1" s="1"/>
  <c r="JP3" i="1" s="1"/>
  <c r="JQ3" i="1" s="1"/>
  <c r="JR3" i="1" s="1"/>
  <c r="K158" i="2"/>
  <c r="M66" i="2"/>
  <c r="F155" i="2"/>
  <c r="K155" i="2" s="1"/>
  <c r="G59" i="2"/>
  <c r="E49" i="2"/>
  <c r="E50" i="2" s="1"/>
  <c r="P69" i="2"/>
  <c r="K127" i="2"/>
  <c r="F170" i="2"/>
  <c r="G170" i="2" s="1"/>
  <c r="D174" i="2" s="1"/>
  <c r="I129" i="2"/>
  <c r="K129" i="2" s="1"/>
  <c r="L68" i="2"/>
  <c r="H157" i="2"/>
  <c r="I157" i="2" s="1"/>
  <c r="K157" i="2" s="1"/>
  <c r="L183" i="2"/>
  <c r="H161" i="2"/>
  <c r="I161" i="2" s="1"/>
  <c r="K161" i="2" s="1"/>
  <c r="L72" i="2"/>
  <c r="I133" i="2"/>
  <c r="K133" i="2" s="1"/>
  <c r="P3" i="1"/>
  <c r="ME3" i="1" l="1"/>
  <c r="R68" i="2"/>
  <c r="O68" i="2"/>
  <c r="P68" i="2" s="1"/>
  <c r="R72" i="2"/>
  <c r="O72" i="2"/>
  <c r="P72" i="2" s="1"/>
  <c r="F59" i="2"/>
  <c r="B59" i="2" s="1"/>
  <c r="G60" i="2"/>
  <c r="P66" i="2"/>
  <c r="P75" i="2" s="1"/>
  <c r="P77" i="2" s="1"/>
  <c r="O77" i="2" s="1"/>
  <c r="L77" i="2" s="1"/>
  <c r="R66" i="2"/>
  <c r="P49" i="2"/>
  <c r="G57" i="2"/>
  <c r="G61" i="2" l="1"/>
  <c r="G62" i="2" s="1"/>
  <c r="F61" i="2"/>
  <c r="H128" i="2" s="1"/>
  <c r="K77" i="2"/>
  <c r="B61" i="2" s="1"/>
  <c r="G128" i="2" s="1"/>
  <c r="F57" i="2"/>
  <c r="B57" i="2" s="1"/>
  <c r="G58" i="2"/>
  <c r="G156" i="2" l="1"/>
  <c r="G131" i="2"/>
  <c r="K67" i="2"/>
  <c r="L67" i="2" s="1"/>
  <c r="R67" i="2" s="1"/>
  <c r="M182" i="2"/>
  <c r="H156" i="2"/>
  <c r="I156" i="2" s="1"/>
  <c r="K156" i="2" s="1"/>
  <c r="I128" i="2"/>
  <c r="K128" i="2" s="1"/>
  <c r="H131" i="2"/>
  <c r="I131" i="2" l="1"/>
  <c r="K131" i="2" s="1"/>
  <c r="H159" i="2"/>
  <c r="I159" i="2" s="1"/>
  <c r="K159" i="2" s="1"/>
  <c r="K136" i="2"/>
  <c r="K138" i="2" s="1"/>
  <c r="K164" i="2"/>
  <c r="K166" i="2" s="1"/>
  <c r="K70" i="2"/>
  <c r="L70" i="2" s="1"/>
  <c r="R70" i="2" s="1"/>
  <c r="R64" i="2" s="1"/>
  <c r="G159" i="2"/>
  <c r="C174" i="2" l="1"/>
  <c r="F174" i="2" s="1"/>
  <c r="P166" i="2"/>
  <c r="P138" i="2"/>
  <c r="C141" i="2"/>
  <c r="F141" i="2" s="1"/>
  <c r="I201" i="2" l="1"/>
  <c r="O201" i="2" s="1"/>
  <c r="T201" i="2" s="1"/>
  <c r="V201" i="2" s="1"/>
  <c r="W201" i="2" s="1"/>
  <c r="I185" i="2"/>
  <c r="O185" i="2" s="1"/>
  <c r="T185" i="2" s="1"/>
  <c r="V185" i="2" s="1"/>
  <c r="W185" i="2" s="1"/>
  <c r="I198" i="2"/>
  <c r="O198" i="2" s="1"/>
  <c r="T198" i="2" s="1"/>
  <c r="V198" i="2" s="1"/>
  <c r="W198" i="2" s="1"/>
  <c r="I190" i="2"/>
  <c r="O190" i="2" s="1"/>
  <c r="T190" i="2" s="1"/>
  <c r="V190" i="2" s="1"/>
  <c r="W190" i="2" s="1"/>
  <c r="I203" i="2"/>
  <c r="O203" i="2" s="1"/>
  <c r="T203" i="2" s="1"/>
  <c r="V203" i="2" s="1"/>
  <c r="W203" i="2" s="1"/>
  <c r="I195" i="2"/>
  <c r="O195" i="2" s="1"/>
  <c r="T195" i="2" s="1"/>
  <c r="V195" i="2" s="1"/>
  <c r="W195" i="2" s="1"/>
  <c r="I187" i="2"/>
  <c r="O187" i="2" s="1"/>
  <c r="T187" i="2" s="1"/>
  <c r="V187" i="2" s="1"/>
  <c r="W187" i="2" s="1"/>
  <c r="I200" i="2"/>
  <c r="O200" i="2" s="1"/>
  <c r="T200" i="2" s="1"/>
  <c r="V200" i="2" s="1"/>
  <c r="W200" i="2" s="1"/>
  <c r="I192" i="2"/>
  <c r="O192" i="2" s="1"/>
  <c r="T192" i="2" s="1"/>
  <c r="V192" i="2" s="1"/>
  <c r="W192" i="2" s="1"/>
  <c r="I184" i="2"/>
  <c r="O184" i="2" s="1"/>
  <c r="T184" i="2" s="1"/>
  <c r="V184" i="2" s="1"/>
  <c r="W184" i="2" s="1"/>
  <c r="I194" i="2"/>
  <c r="O194" i="2" s="1"/>
  <c r="T194" i="2" s="1"/>
  <c r="V194" i="2" s="1"/>
  <c r="W194" i="2" s="1"/>
  <c r="I193" i="2"/>
  <c r="O193" i="2" s="1"/>
  <c r="T193" i="2" s="1"/>
  <c r="V193" i="2" s="1"/>
  <c r="W193" i="2" s="1"/>
  <c r="I191" i="2"/>
  <c r="O191" i="2" s="1"/>
  <c r="T191" i="2" s="1"/>
  <c r="V191" i="2" s="1"/>
  <c r="W191" i="2" s="1"/>
  <c r="I205" i="2"/>
  <c r="O205" i="2" s="1"/>
  <c r="T205" i="2" s="1"/>
  <c r="V205" i="2" s="1"/>
  <c r="W205" i="2" s="1"/>
  <c r="I197" i="2"/>
  <c r="O197" i="2" s="1"/>
  <c r="T197" i="2" s="1"/>
  <c r="V197" i="2" s="1"/>
  <c r="W197" i="2" s="1"/>
  <c r="I189" i="2"/>
  <c r="O189" i="2" s="1"/>
  <c r="T189" i="2" s="1"/>
  <c r="V189" i="2" s="1"/>
  <c r="W189" i="2" s="1"/>
  <c r="I202" i="2"/>
  <c r="O202" i="2" s="1"/>
  <c r="T202" i="2" s="1"/>
  <c r="V202" i="2" s="1"/>
  <c r="W202" i="2" s="1"/>
  <c r="I186" i="2"/>
  <c r="O186" i="2" s="1"/>
  <c r="T186" i="2" s="1"/>
  <c r="V186" i="2" s="1"/>
  <c r="W186" i="2" s="1"/>
  <c r="I199" i="2"/>
  <c r="O199" i="2" s="1"/>
  <c r="T199" i="2" s="1"/>
  <c r="V199" i="2" s="1"/>
  <c r="W199" i="2" s="1"/>
  <c r="I204" i="2"/>
  <c r="O204" i="2" s="1"/>
  <c r="T204" i="2" s="1"/>
  <c r="V204" i="2" s="1"/>
  <c r="W204" i="2" s="1"/>
  <c r="I196" i="2"/>
  <c r="O196" i="2" s="1"/>
  <c r="T196" i="2" s="1"/>
  <c r="V196" i="2" s="1"/>
  <c r="W196" i="2" s="1"/>
  <c r="I188" i="2"/>
  <c r="O188" i="2" s="1"/>
  <c r="T188" i="2" s="1"/>
  <c r="V188" i="2" s="1"/>
  <c r="W188" i="2" s="1"/>
  <c r="W207" i="2" l="1"/>
  <c r="CQ21" i="5"/>
  <c r="CV21" i="5" s="1"/>
  <c r="CW21" i="5" s="1"/>
  <c r="CA21" i="5" s="1"/>
  <c r="DA21" i="5" l="1"/>
  <c r="K21" i="5" s="1"/>
  <c r="CY21" i="5"/>
  <c r="I21" i="5" s="1"/>
  <c r="DB21" i="5"/>
  <c r="CZ21" i="5"/>
  <c r="H21" i="5" l="1"/>
  <c r="AJ21" i="5" s="1"/>
  <c r="AU21" i="5" s="1"/>
  <c r="BB21" i="5" l="1"/>
  <c r="AV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<sst xmlns="http://schemas.openxmlformats.org/spreadsheetml/2006/main" count="2446" uniqueCount="804">
  <si>
    <t>명칭</t>
    <phoneticPr fontId="3" type="noConversion"/>
  </si>
  <si>
    <t>압구정3구역</t>
    <phoneticPr fontId="3" type="noConversion"/>
  </si>
  <si>
    <t>주소</t>
    <phoneticPr fontId="3" type="noConversion"/>
  </si>
  <si>
    <t>서울특별시 강남구 압구정동 369-1</t>
    <phoneticPr fontId="3" type="noConversion"/>
  </si>
  <si>
    <t>대지1용도지역</t>
    <phoneticPr fontId="3" type="noConversion"/>
  </si>
  <si>
    <t>대지2용도지역</t>
    <phoneticPr fontId="3" type="noConversion"/>
  </si>
  <si>
    <t>대지1면적m2</t>
    <phoneticPr fontId="3" type="noConversion"/>
  </si>
  <si>
    <t>대지2면적m2</t>
    <phoneticPr fontId="3" type="noConversion"/>
  </si>
  <si>
    <t>3종일주</t>
    <phoneticPr fontId="3" type="noConversion"/>
  </si>
  <si>
    <t>대지1용적률</t>
    <phoneticPr fontId="3" type="noConversion"/>
  </si>
  <si>
    <t>대지2용적률</t>
    <phoneticPr fontId="3" type="noConversion"/>
  </si>
  <si>
    <t>주차대수</t>
    <phoneticPr fontId="3" type="noConversion"/>
  </si>
  <si>
    <t>지하연면적</t>
    <phoneticPr fontId="3" type="noConversion"/>
  </si>
  <si>
    <t>구글링</t>
    <phoneticPr fontId="3" type="noConversion"/>
  </si>
  <si>
    <t>대지면적1기준연면적m2</t>
    <phoneticPr fontId="3" type="noConversion"/>
  </si>
  <si>
    <t>대지면적2기준연면적m2</t>
    <phoneticPr fontId="3" type="noConversion"/>
  </si>
  <si>
    <t>연면적합계m2</t>
    <phoneticPr fontId="3" type="noConversion"/>
  </si>
  <si>
    <t>연면적출처</t>
    <phoneticPr fontId="3" type="noConversion"/>
  </si>
  <si>
    <t>건축계획</t>
    <phoneticPr fontId="3" type="noConversion"/>
  </si>
  <si>
    <t>조분1세대수</t>
    <phoneticPr fontId="3" type="noConversion"/>
  </si>
  <si>
    <t>조분1전유면적m2</t>
    <phoneticPr fontId="3" type="noConversion"/>
  </si>
  <si>
    <t>조분2세대수</t>
    <phoneticPr fontId="3" type="noConversion"/>
  </si>
  <si>
    <t>조분2전유면적m2</t>
    <phoneticPr fontId="3" type="noConversion"/>
  </si>
  <si>
    <t>조분1분양면적m2</t>
    <phoneticPr fontId="3" type="noConversion"/>
  </si>
  <si>
    <t>조분2분양면적m2</t>
    <phoneticPr fontId="3" type="noConversion"/>
  </si>
  <si>
    <t>조분3세대수</t>
    <phoneticPr fontId="3" type="noConversion"/>
  </si>
  <si>
    <t>조분3전유면적m2</t>
    <phoneticPr fontId="3" type="noConversion"/>
  </si>
  <si>
    <t>조분3분양면적m2</t>
    <phoneticPr fontId="3" type="noConversion"/>
  </si>
  <si>
    <t>일분1세대수</t>
    <phoneticPr fontId="3" type="noConversion"/>
  </si>
  <si>
    <t>세대구분 / 면적구분 출처</t>
    <phoneticPr fontId="3" type="noConversion"/>
  </si>
  <si>
    <t>고시문 면적구분(60이하, 60~85, 85초과), 종후자산가액기준 자체추정</t>
    <phoneticPr fontId="3" type="noConversion"/>
  </si>
  <si>
    <t>종후-조합원분양물량</t>
    <phoneticPr fontId="3" type="noConversion"/>
  </si>
  <si>
    <t>종후-일반분양물량</t>
    <phoneticPr fontId="3" type="noConversion"/>
  </si>
  <si>
    <t>종후-임대물량</t>
    <phoneticPr fontId="3" type="noConversion"/>
  </si>
  <si>
    <t>종전</t>
    <phoneticPr fontId="3" type="noConversion"/>
  </si>
  <si>
    <t>단지명</t>
    <phoneticPr fontId="3" type="noConversion"/>
  </si>
  <si>
    <t>타입명</t>
    <phoneticPr fontId="3" type="noConversion"/>
  </si>
  <si>
    <t>세대수</t>
  </si>
  <si>
    <t>세대수</t>
    <phoneticPr fontId="3" type="noConversion"/>
  </si>
  <si>
    <t>조분평단가</t>
    <phoneticPr fontId="3" type="noConversion"/>
  </si>
  <si>
    <t>조분평단가(백만원)</t>
    <phoneticPr fontId="3" type="noConversion"/>
  </si>
  <si>
    <t>일분평단가(백만원)</t>
    <phoneticPr fontId="3" type="noConversion"/>
  </si>
  <si>
    <t>임대평단가(백만원)</t>
    <phoneticPr fontId="3" type="noConversion"/>
  </si>
  <si>
    <t>종후 계</t>
    <phoneticPr fontId="3" type="noConversion"/>
  </si>
  <si>
    <t>조분 계</t>
    <phoneticPr fontId="3" type="noConversion"/>
  </si>
  <si>
    <t>일분 계</t>
    <phoneticPr fontId="3" type="noConversion"/>
  </si>
  <si>
    <t>임대 계</t>
    <phoneticPr fontId="3" type="noConversion"/>
  </si>
  <si>
    <t>종후-주택 외</t>
    <phoneticPr fontId="3" type="noConversion"/>
  </si>
  <si>
    <t>종후자산 총계</t>
    <phoneticPr fontId="3" type="noConversion"/>
  </si>
  <si>
    <t>종전1단지명</t>
    <phoneticPr fontId="3" type="noConversion"/>
  </si>
  <si>
    <t>종전1타입명</t>
    <phoneticPr fontId="3" type="noConversion"/>
  </si>
  <si>
    <t>종전1세대수</t>
    <phoneticPr fontId="3" type="noConversion"/>
  </si>
  <si>
    <t>종전1세대단가</t>
    <phoneticPr fontId="3" type="noConversion"/>
  </si>
  <si>
    <t>1,2차</t>
    <phoneticPr fontId="3" type="noConversion"/>
  </si>
  <si>
    <t>종전2단지명</t>
  </si>
  <si>
    <t>종전2타입명</t>
  </si>
  <si>
    <t>종전2세대수</t>
  </si>
  <si>
    <t>종전2세대단가</t>
  </si>
  <si>
    <t>종전3단지명</t>
  </si>
  <si>
    <t>종전3타입명</t>
  </si>
  <si>
    <t>종전3세대수</t>
  </si>
  <si>
    <t>종전3세대단가</t>
  </si>
  <si>
    <t>종전4단지명</t>
  </si>
  <si>
    <t>종전4타입명</t>
  </si>
  <si>
    <t>종전4세대수</t>
  </si>
  <si>
    <t>종전4세대단가</t>
  </si>
  <si>
    <t>종전5단지명</t>
  </si>
  <si>
    <t>종전5타입명</t>
  </si>
  <si>
    <t>종전5세대수</t>
  </si>
  <si>
    <t>종전5세대단가</t>
  </si>
  <si>
    <t>종전6단지명</t>
  </si>
  <si>
    <t>종전6타입명</t>
  </si>
  <si>
    <t>종전6세대수</t>
  </si>
  <si>
    <t>종전6세대단가</t>
  </si>
  <si>
    <t>종전7단지명</t>
  </si>
  <si>
    <t>종전7타입명</t>
  </si>
  <si>
    <t>종전7세대수</t>
  </si>
  <si>
    <t>종전7세대단가</t>
  </si>
  <si>
    <t>종전8단지명</t>
  </si>
  <si>
    <t>종전8타입명</t>
  </si>
  <si>
    <t>종전8세대수</t>
  </si>
  <si>
    <t>종전8세대단가</t>
  </si>
  <si>
    <t>종전9단지명</t>
  </si>
  <si>
    <t>종전9타입명</t>
  </si>
  <si>
    <t>종전9세대수</t>
  </si>
  <si>
    <t>종전9세대단가</t>
  </si>
  <si>
    <t>종전10단지명</t>
  </si>
  <si>
    <t>종전10타입명</t>
  </si>
  <si>
    <t>종전10세대수</t>
  </si>
  <si>
    <t>종전10세대단가</t>
  </si>
  <si>
    <t>종전11단지명</t>
  </si>
  <si>
    <t>종전11타입명</t>
  </si>
  <si>
    <t>종전11세대수</t>
  </si>
  <si>
    <t>종전11세대단가</t>
  </si>
  <si>
    <t>종전12단지명</t>
  </si>
  <si>
    <t>종전12타입명</t>
  </si>
  <si>
    <t>종전12세대수</t>
  </si>
  <si>
    <t>종전12세대단가</t>
  </si>
  <si>
    <t>종전13단지명</t>
  </si>
  <si>
    <t>종전13타입명</t>
  </si>
  <si>
    <t>종전13세대수</t>
  </si>
  <si>
    <t>종전13세대단가</t>
  </si>
  <si>
    <t>종전14단지명</t>
  </si>
  <si>
    <t>종전14타입명</t>
  </si>
  <si>
    <t>종전14세대수</t>
  </si>
  <si>
    <t>종전14세대단가</t>
  </si>
  <si>
    <t>종전15단지명</t>
  </si>
  <si>
    <t>종전15타입명</t>
  </si>
  <si>
    <t>종전15세대수</t>
  </si>
  <si>
    <t>종전15세대단가</t>
  </si>
  <si>
    <t>종전16단지명</t>
  </si>
  <si>
    <t>종전16타입명</t>
  </si>
  <si>
    <t>종전16세대수</t>
  </si>
  <si>
    <t>종전16세대단가</t>
  </si>
  <si>
    <t>종전17단지명</t>
  </si>
  <si>
    <t>종전17타입명</t>
  </si>
  <si>
    <t>종전17세대수</t>
  </si>
  <si>
    <t>종전17세대단가</t>
  </si>
  <si>
    <t>종전18단지명</t>
  </si>
  <si>
    <t>종전18타입명</t>
  </si>
  <si>
    <t>종전18세대수</t>
  </si>
  <si>
    <t>종전18세대단가</t>
  </si>
  <si>
    <t>종전19단지명</t>
  </si>
  <si>
    <t>종전19타입명</t>
  </si>
  <si>
    <t>종전19세대수</t>
  </si>
  <si>
    <t>종전19세대단가</t>
  </si>
  <si>
    <t>종전20단지명</t>
  </si>
  <si>
    <t>종전20타입명</t>
  </si>
  <si>
    <t>종전20세대수</t>
  </si>
  <si>
    <t>종전20세대단가</t>
  </si>
  <si>
    <t>종전21단지명</t>
  </si>
  <si>
    <t>종전21타입명</t>
  </si>
  <si>
    <t>종전21세대수</t>
  </si>
  <si>
    <t>종전21세대단가</t>
  </si>
  <si>
    <t>종전22단지명</t>
  </si>
  <si>
    <t>종전22타입명</t>
  </si>
  <si>
    <t>종전22세대수</t>
  </si>
  <si>
    <t>종전22세대단가</t>
  </si>
  <si>
    <t>3차</t>
    <phoneticPr fontId="3" type="noConversion"/>
  </si>
  <si>
    <t>4차</t>
    <phoneticPr fontId="3" type="noConversion"/>
  </si>
  <si>
    <t>5차</t>
    <phoneticPr fontId="3" type="noConversion"/>
  </si>
  <si>
    <t>6,7차</t>
    <phoneticPr fontId="3" type="noConversion"/>
  </si>
  <si>
    <t>10차</t>
    <phoneticPr fontId="3" type="noConversion"/>
  </si>
  <si>
    <t>13차</t>
    <phoneticPr fontId="3" type="noConversion"/>
  </si>
  <si>
    <t>36A</t>
    <phoneticPr fontId="3" type="noConversion"/>
  </si>
  <si>
    <t>36B</t>
    <phoneticPr fontId="3" type="noConversion"/>
  </si>
  <si>
    <t>14차</t>
    <phoneticPr fontId="3" type="noConversion"/>
  </si>
  <si>
    <t>대림아크로빌</t>
    <phoneticPr fontId="3" type="noConversion"/>
  </si>
  <si>
    <t>대림빌라트</t>
    <phoneticPr fontId="3" type="noConversion"/>
  </si>
  <si>
    <t>현대빌라트</t>
    <phoneticPr fontId="3" type="noConversion"/>
  </si>
  <si>
    <t>종전세대 합계</t>
    <phoneticPr fontId="3" type="noConversion"/>
  </si>
  <si>
    <t>종전(주택)합계</t>
    <phoneticPr fontId="3" type="noConversion"/>
  </si>
  <si>
    <t>주택 외 종전자산(상가 등)</t>
    <phoneticPr fontId="3" type="noConversion"/>
  </si>
  <si>
    <t>종전자산 총계</t>
    <phoneticPr fontId="3" type="noConversion"/>
  </si>
  <si>
    <t>공사비</t>
    <phoneticPr fontId="3" type="noConversion"/>
  </si>
  <si>
    <t>기타사업비</t>
    <phoneticPr fontId="3" type="noConversion"/>
  </si>
  <si>
    <t>평당공사비(백만원)</t>
    <phoneticPr fontId="3" type="noConversion"/>
  </si>
  <si>
    <t>기타사업비(백만원)</t>
    <phoneticPr fontId="3" type="noConversion"/>
  </si>
  <si>
    <t>사업비누계(백만원)</t>
    <phoneticPr fontId="3" type="noConversion"/>
  </si>
  <si>
    <t>비례율</t>
    <phoneticPr fontId="3" type="noConversion"/>
  </si>
  <si>
    <t>fact check</t>
    <phoneticPr fontId="3" type="noConversion"/>
  </si>
  <si>
    <t>수치(백만원)</t>
    <phoneticPr fontId="3" type="noConversion"/>
  </si>
  <si>
    <t>출처위치(PDF페이지)</t>
    <phoneticPr fontId="3" type="noConversion"/>
  </si>
  <si>
    <t>추정시 근거</t>
    <phoneticPr fontId="3" type="noConversion"/>
  </si>
  <si>
    <t>종후자산총액</t>
    <phoneticPr fontId="3" type="noConversion"/>
  </si>
  <si>
    <t>ㅇ</t>
    <phoneticPr fontId="3" type="noConversion"/>
  </si>
  <si>
    <t>사업비총액</t>
    <phoneticPr fontId="3" type="noConversion"/>
  </si>
  <si>
    <t>종전자산총액</t>
    <phoneticPr fontId="3" type="noConversion"/>
  </si>
  <si>
    <t>제시비례율</t>
    <phoneticPr fontId="3" type="noConversion"/>
  </si>
  <si>
    <t>건축개요</t>
    <phoneticPr fontId="3" type="noConversion"/>
  </si>
  <si>
    <t>수치</t>
    <phoneticPr fontId="3" type="noConversion"/>
  </si>
  <si>
    <t>출처위치</t>
    <phoneticPr fontId="3" type="noConversion"/>
  </si>
  <si>
    <t>대지면적</t>
    <phoneticPr fontId="3" type="noConversion"/>
  </si>
  <si>
    <t>획지1</t>
    <phoneticPr fontId="3" type="noConversion"/>
  </si>
  <si>
    <t>획지2</t>
    <phoneticPr fontId="3" type="noConversion"/>
  </si>
  <si>
    <t>준주</t>
    <phoneticPr fontId="3" type="noConversion"/>
  </si>
  <si>
    <t>연면적</t>
    <phoneticPr fontId="3" type="noConversion"/>
  </si>
  <si>
    <t>지상</t>
    <phoneticPr fontId="3" type="noConversion"/>
  </si>
  <si>
    <t>X</t>
    <phoneticPr fontId="3" type="noConversion"/>
  </si>
  <si>
    <t>용적률</t>
    <phoneticPr fontId="3" type="noConversion"/>
  </si>
  <si>
    <t>제시된 용적률 기준 면적을 지상면적이자 분양면적으로 가정</t>
    <phoneticPr fontId="3" type="noConversion"/>
  </si>
  <si>
    <t>지하</t>
    <phoneticPr fontId="3" type="noConversion"/>
  </si>
  <si>
    <t>총 주차대수(제시)기준 : 대당 50m2 지하면적 추론</t>
    <phoneticPr fontId="3" type="noConversion"/>
  </si>
  <si>
    <t xml:space="preserve">정답지 </t>
    <phoneticPr fontId="3" type="noConversion"/>
  </si>
  <si>
    <t>합계</t>
    <phoneticPr fontId="3" type="noConversion"/>
  </si>
  <si>
    <t>주차대수당 50m2의 근거 는 AI 자료 취합 (실무적으로는 40m2/대 를 적용해왔음)</t>
    <phoneticPr fontId="3" type="noConversion"/>
  </si>
  <si>
    <t>세대구성</t>
    <phoneticPr fontId="3" type="noConversion"/>
  </si>
  <si>
    <t>총세대수</t>
    <phoneticPr fontId="3" type="noConversion"/>
  </si>
  <si>
    <t>임대세대수</t>
    <phoneticPr fontId="3" type="noConversion"/>
  </si>
  <si>
    <t xml:space="preserve"> 조합원 수</t>
    <phoneticPr fontId="3" type="noConversion"/>
  </si>
  <si>
    <t>일반분양 수</t>
    <phoneticPr fontId="3" type="noConversion"/>
  </si>
  <si>
    <t>타입별 면적</t>
    <phoneticPr fontId="3" type="noConversion"/>
  </si>
  <si>
    <t>60이하</t>
    <phoneticPr fontId="3" type="noConversion"/>
  </si>
  <si>
    <t>60~85</t>
    <phoneticPr fontId="3" type="noConversion"/>
  </si>
  <si>
    <t>85초과</t>
    <phoneticPr fontId="3" type="noConversion"/>
  </si>
  <si>
    <t>분양</t>
    <phoneticPr fontId="3" type="noConversion"/>
  </si>
  <si>
    <t>조분</t>
    <phoneticPr fontId="3" type="noConversion"/>
  </si>
  <si>
    <t>조합원100% 분양 추정(현금청산 없음 가정) / 85를 초과하는 준공후 타입별 면적(범위로), 해당 범위별 세대수가 나와있으나 "온라인" 에서는 그냥 84 초과로 뭉뚱그려 추정 (p28)</t>
    <phoneticPr fontId="3" type="noConversion"/>
  </si>
  <si>
    <t>일분</t>
    <phoneticPr fontId="3" type="noConversion"/>
  </si>
  <si>
    <t>잔여세대가 일반분양으로 추정</t>
    <phoneticPr fontId="3" type="noConversion"/>
  </si>
  <si>
    <t>계</t>
    <phoneticPr fontId="3" type="noConversion"/>
  </si>
  <si>
    <t>임대</t>
    <phoneticPr fontId="3" type="noConversion"/>
  </si>
  <si>
    <t>85 초과 타입의 세대수 추정</t>
    <phoneticPr fontId="3" type="noConversion"/>
  </si>
  <si>
    <t>주택연면적</t>
    <phoneticPr fontId="3" type="noConversion"/>
  </si>
  <si>
    <t>전체연면적</t>
    <phoneticPr fontId="3" type="noConversion"/>
  </si>
  <si>
    <t>상가연면적</t>
    <phoneticPr fontId="3" type="noConversion"/>
  </si>
  <si>
    <t>전체 연면적에서 상가연면적(제시) 제외한 부분을 모두 주택면적으로 가정 (실제 커뮤니티 센터 등 과다하게 주택으로 계상될 여지 있음)</t>
    <phoneticPr fontId="3" type="noConversion"/>
  </si>
  <si>
    <t>주택 지상면적(분양면적)</t>
    <phoneticPr fontId="3" type="noConversion"/>
  </si>
  <si>
    <t>주차대수에 기반한 지상/지하 연면적 비율에 따른 배분 -&gt; 실제 건축계획과 상이할 수 있음</t>
    <phoneticPr fontId="3" type="noConversion"/>
  </si>
  <si>
    <t>주택 지하면적</t>
    <phoneticPr fontId="3" type="noConversion"/>
  </si>
  <si>
    <t>전유</t>
    <phoneticPr fontId="3" type="noConversion"/>
  </si>
  <si>
    <t>세대당분양면적</t>
    <phoneticPr fontId="3" type="noConversion"/>
  </si>
  <si>
    <t>분양면적합계</t>
    <phoneticPr fontId="3" type="noConversion"/>
  </si>
  <si>
    <t>60m2 미만 카테고리의 전유면적은 59m2 으로 단순화 (실제 건축계획의 보다 세분화된 타입과 달라질 수 있음) / 전용59에 따른 분양면적 80m2 는 경험치 적용</t>
    <phoneticPr fontId="3" type="noConversion"/>
  </si>
  <si>
    <t>60~85m2 미만 카테고리의 전유면적은 84m2 으로 단순화 (실제 건축계획의 보다 세분화된 타입과 달라질 수 있음) / 전용84에 따른 분양면적 114는 경험치 적용</t>
    <phoneticPr fontId="3" type="noConversion"/>
  </si>
  <si>
    <t>논리1(채택X)</t>
    <phoneticPr fontId="3" type="noConversion"/>
  </si>
  <si>
    <t>case1</t>
    <phoneticPr fontId="3" type="noConversion"/>
  </si>
  <si>
    <t>잔여분양면적 추정로직</t>
    <phoneticPr fontId="3" type="noConversion"/>
  </si>
  <si>
    <t>sol 1 : 지상 면적만으로 잔여면적 추출</t>
    <phoneticPr fontId="3" type="noConversion"/>
  </si>
  <si>
    <t>가장 자연스럽지만 비례율 차이 존재</t>
    <phoneticPr fontId="3" type="noConversion"/>
  </si>
  <si>
    <t>논리2(채택X)</t>
    <phoneticPr fontId="3" type="noConversion"/>
  </si>
  <si>
    <t>case2</t>
    <phoneticPr fontId="3" type="noConversion"/>
  </si>
  <si>
    <t>sol2 잔여 연면적의 63%를 분양면적으로 추정</t>
    <phoneticPr fontId="3" type="noConversion"/>
  </si>
  <si>
    <t>인위적 - 답을 알고 역산한 것 / 다만 케이스로 기억은 해둘 것</t>
    <phoneticPr fontId="3" type="noConversion"/>
  </si>
  <si>
    <t>논리3(채택O)</t>
    <phoneticPr fontId="3" type="noConversion"/>
  </si>
  <si>
    <t>case3</t>
    <phoneticPr fontId="3" type="noConversion"/>
  </si>
  <si>
    <t>sol3 종후자산가액 역산 추출</t>
    <phoneticPr fontId="3" type="noConversion"/>
  </si>
  <si>
    <t>제시된 분양단가(조합원8300만원/평)가 존재하고, 전체 매출합계(종후자산가액)가 존재하기에, 역으로 84 초과 타입에 대한 분양합계면적을 추정한 뒤, 앞에서 추정된 84초과 세대수로 나누어, 84초과 세대의 평균적 전유면적을 도출하는 로직</t>
    <phoneticPr fontId="3" type="noConversion"/>
  </si>
  <si>
    <t>분양면적 정답</t>
    <phoneticPr fontId="3" type="noConversion"/>
  </si>
  <si>
    <t>현재 확정 분양면적</t>
    <phoneticPr fontId="3" type="noConversion"/>
  </si>
  <si>
    <t>타입</t>
    <phoneticPr fontId="3" type="noConversion"/>
  </si>
  <si>
    <t>분양가</t>
    <phoneticPr fontId="3" type="noConversion"/>
  </si>
  <si>
    <t>세대단가</t>
    <phoneticPr fontId="3" type="noConversion"/>
  </si>
  <si>
    <t>분양총액</t>
    <phoneticPr fontId="3" type="noConversion"/>
  </si>
  <si>
    <t>85 초과 금액 제외</t>
    <phoneticPr fontId="3" type="noConversion"/>
  </si>
  <si>
    <t>주택 계</t>
    <phoneticPr fontId="3" type="noConversion"/>
  </si>
  <si>
    <t>상가 등</t>
    <phoneticPr fontId="3" type="noConversion"/>
  </si>
  <si>
    <t>85 초과 역산 도출</t>
    <phoneticPr fontId="3" type="noConversion"/>
  </si>
  <si>
    <t>종후총액</t>
    <phoneticPr fontId="3" type="noConversion"/>
  </si>
  <si>
    <t>비례율 재산정</t>
    <phoneticPr fontId="3" type="noConversion"/>
  </si>
  <si>
    <t>종전자산</t>
    <phoneticPr fontId="3" type="noConversion"/>
  </si>
  <si>
    <t>구분</t>
    <phoneticPr fontId="3" type="noConversion"/>
  </si>
  <si>
    <t>세대당평균금액</t>
    <phoneticPr fontId="3" type="noConversion"/>
  </si>
  <si>
    <t>종전자산추산액</t>
    <phoneticPr fontId="3" type="noConversion"/>
  </si>
  <si>
    <t>비고</t>
    <phoneticPr fontId="3" type="noConversion"/>
  </si>
  <si>
    <t>상가등 종전</t>
    <phoneticPr fontId="3" type="noConversion"/>
  </si>
  <si>
    <t>전체종전</t>
    <phoneticPr fontId="3" type="noConversion"/>
  </si>
  <si>
    <t>사업비</t>
    <phoneticPr fontId="3" type="noConversion"/>
  </si>
  <si>
    <t>연면적m2</t>
    <phoneticPr fontId="3" type="noConversion"/>
  </si>
  <si>
    <t>기타사업비 : 공사비의 30%</t>
    <phoneticPr fontId="3" type="noConversion"/>
  </si>
  <si>
    <t>평단가</t>
    <phoneticPr fontId="3" type="noConversion"/>
  </si>
  <si>
    <t>종후</t>
    <phoneticPr fontId="3" type="noConversion"/>
  </si>
  <si>
    <t>총액</t>
    <phoneticPr fontId="3" type="noConversion"/>
  </si>
  <si>
    <t>상가 계</t>
    <phoneticPr fontId="3" type="noConversion"/>
  </si>
  <si>
    <t>변수 재설계</t>
    <phoneticPr fontId="3" type="noConversion"/>
  </si>
  <si>
    <t>변수</t>
    <phoneticPr fontId="3" type="noConversion"/>
  </si>
  <si>
    <t>평단가(백만원)</t>
    <phoneticPr fontId="3" type="noConversion"/>
  </si>
  <si>
    <t>조합원분양가</t>
    <phoneticPr fontId="3" type="noConversion"/>
  </si>
  <si>
    <t>공급평당</t>
    <phoneticPr fontId="3" type="noConversion"/>
  </si>
  <si>
    <t>일반분양가</t>
    <phoneticPr fontId="3" type="noConversion"/>
  </si>
  <si>
    <t>연면적평당</t>
    <phoneticPr fontId="3" type="noConversion"/>
  </si>
  <si>
    <t>변수에 따른 비례율 재산정</t>
    <phoneticPr fontId="3" type="noConversion"/>
  </si>
  <si>
    <t>fix</t>
    <phoneticPr fontId="3" type="noConversion"/>
  </si>
  <si>
    <t>추정분담금</t>
    <phoneticPr fontId="3" type="noConversion"/>
  </si>
  <si>
    <t>*) 공개 버전은 84 가는것만 하는것도 답일듯!!</t>
    <phoneticPr fontId="3" type="noConversion"/>
  </si>
  <si>
    <t>구축아파트</t>
    <phoneticPr fontId="3" type="noConversion"/>
  </si>
  <si>
    <t>신축아파트 : 단지명</t>
    <phoneticPr fontId="3" type="noConversion"/>
  </si>
  <si>
    <t>분담금</t>
    <phoneticPr fontId="3" type="noConversion"/>
  </si>
  <si>
    <t>KB시세</t>
    <phoneticPr fontId="3" type="noConversion"/>
  </si>
  <si>
    <t>래미안원배일리</t>
    <phoneticPr fontId="3" type="noConversion"/>
  </si>
  <si>
    <t>권리가액</t>
    <phoneticPr fontId="3" type="noConversion"/>
  </si>
  <si>
    <t>전용</t>
    <phoneticPr fontId="3" type="noConversion"/>
  </si>
  <si>
    <t>총투자금</t>
    <phoneticPr fontId="3" type="noConversion"/>
  </si>
  <si>
    <t>마진</t>
    <phoneticPr fontId="3" type="noConversion"/>
  </si>
  <si>
    <t>수익률(마진/총투자금)</t>
    <phoneticPr fontId="3" type="noConversion"/>
  </si>
  <si>
    <t>kb시세(상한)</t>
    <phoneticPr fontId="3" type="noConversion"/>
  </si>
  <si>
    <t>분양면적</t>
    <phoneticPr fontId="3" type="noConversion"/>
  </si>
  <si>
    <t>신축보정</t>
    <phoneticPr fontId="3" type="noConversion"/>
  </si>
  <si>
    <t>본건 84 신축 가액 추정</t>
    <phoneticPr fontId="3" type="noConversion"/>
  </si>
  <si>
    <t>종전1KB시세</t>
  </si>
  <si>
    <t>종전2KB시세</t>
  </si>
  <si>
    <t>종전3KB시세</t>
  </si>
  <si>
    <t>종전4KB시세</t>
  </si>
  <si>
    <t>종전5KB시세</t>
  </si>
  <si>
    <t>종전6KB시세</t>
  </si>
  <si>
    <t>종전7KB시세</t>
  </si>
  <si>
    <t>종전8KB시세</t>
  </si>
  <si>
    <t>종전9KB시세</t>
  </si>
  <si>
    <t>종전10KB시세</t>
  </si>
  <si>
    <t>종전11KB시세</t>
  </si>
  <si>
    <t>종전12KB시세</t>
  </si>
  <si>
    <t>종전13KB시세</t>
  </si>
  <si>
    <t>종전14KB시세</t>
  </si>
  <si>
    <t>종전15KB시세</t>
  </si>
  <si>
    <t>종전16KB시세</t>
  </si>
  <si>
    <t>종전17KB시세</t>
  </si>
  <si>
    <t>종전18KB시세</t>
  </si>
  <si>
    <t>종전19KB시세</t>
  </si>
  <si>
    <t>종전20KB시세</t>
  </si>
  <si>
    <t>종전21KB시세</t>
  </si>
  <si>
    <t>종전22KB시세</t>
  </si>
  <si>
    <t>종전1전용면적m2</t>
  </si>
  <si>
    <t>종전2전용면적m2</t>
  </si>
  <si>
    <t>종전3전용면적m2</t>
  </si>
  <si>
    <t>종전4전용면적m2</t>
  </si>
  <si>
    <t>종전5전용면적m2</t>
  </si>
  <si>
    <t>종전6전용면적m2</t>
  </si>
  <si>
    <t>종전7전용면적m2</t>
  </si>
  <si>
    <t>종전8전용면적m2</t>
  </si>
  <si>
    <t>종전9전용면적m2</t>
  </si>
  <si>
    <t>종전10전용면적m2</t>
  </si>
  <si>
    <t>종전11전용면적m2</t>
  </si>
  <si>
    <t>종전12전용면적m2</t>
  </si>
  <si>
    <t>종전13전용면적m2</t>
  </si>
  <si>
    <t>종전14전용면적m2</t>
  </si>
  <si>
    <t>종전15전용면적m2</t>
  </si>
  <si>
    <t>종전16전용면적m2</t>
  </si>
  <si>
    <t>종전17전용면적m2</t>
  </si>
  <si>
    <t>종전18전용면적m2</t>
  </si>
  <si>
    <t>종전19전용면적m2</t>
  </si>
  <si>
    <t>종전20전용면적m2</t>
  </si>
  <si>
    <t>종전21전용면적m2</t>
  </si>
  <si>
    <t>종전22전용면적m2</t>
  </si>
  <si>
    <t>참조단지</t>
    <phoneticPr fontId="3" type="noConversion"/>
  </si>
  <si>
    <t>참조단지 분양평단가</t>
    <phoneticPr fontId="3" type="noConversion"/>
  </si>
  <si>
    <t>본건 전용84 신축 가액 추정</t>
    <phoneticPr fontId="3" type="noConversion"/>
  </si>
  <si>
    <t>본건84 분양면적</t>
    <phoneticPr fontId="3" type="noConversion"/>
  </si>
  <si>
    <t>고시문 날짜</t>
    <phoneticPr fontId="3" type="noConversion"/>
  </si>
  <si>
    <t>고시명</t>
    <phoneticPr fontId="3" type="noConversion"/>
  </si>
  <si>
    <t>서울특별시 강남구공고 제 2025-2711호</t>
    <phoneticPr fontId="3" type="noConversion"/>
  </si>
  <si>
    <t>신반포2차</t>
    <phoneticPr fontId="3" type="noConversion"/>
  </si>
  <si>
    <t>서울특별시 서초구 잠원동 73</t>
    <phoneticPr fontId="3" type="noConversion"/>
  </si>
  <si>
    <t>공급</t>
    <phoneticPr fontId="3" type="noConversion"/>
  </si>
  <si>
    <t>계약</t>
    <phoneticPr fontId="3" type="noConversion"/>
  </si>
  <si>
    <t>지상연면적</t>
    <phoneticPr fontId="3" type="noConversion"/>
  </si>
  <si>
    <t>활용해야 할 힌트 : 다른단지와 달리 전용 대비 계약(연면적)제시 비율은 임대주택관련 면적을 기재하면서 제시해두었음 - 활용방법고민해볼것</t>
    <phoneticPr fontId="3" type="noConversion"/>
  </si>
  <si>
    <t>지하연면적을 추정하기 위한 힌트가 고시문에 없었음 -&gt; 유사 신축 단지 건축계획(압구정3구역)의 세대당 주차대수 계획(2.1대) 및 주차 대수별 면적 가정(50m2)을 차용하여 신반포2차의 지하면적 추론에 적용</t>
    <phoneticPr fontId="3" type="noConversion"/>
  </si>
  <si>
    <t>로직/정답</t>
    <phoneticPr fontId="3" type="noConversion"/>
  </si>
  <si>
    <t>정답</t>
    <phoneticPr fontId="3" type="noConversion"/>
  </si>
  <si>
    <t>총주차대수(추론)</t>
    <phoneticPr fontId="3" type="noConversion"/>
  </si>
  <si>
    <t>세대당주차대수(추론, 근거 압구정3구역)</t>
    <phoneticPr fontId="3" type="noConversion"/>
  </si>
  <si>
    <t>총세대수 (제시)</t>
    <phoneticPr fontId="3" type="noConversion"/>
  </si>
  <si>
    <t>조합원수</t>
    <phoneticPr fontId="3" type="noConversion"/>
  </si>
  <si>
    <t>일반분양수</t>
    <phoneticPr fontId="3" type="noConversion"/>
  </si>
  <si>
    <t>조합원100% 중대형 분양 추정</t>
    <phoneticPr fontId="3" type="noConversion"/>
  </si>
  <si>
    <t>84이상 규모는 조합원이 우선 분양받은 후 잔여세대가 존재하면 일반분양으로 추정</t>
    <phoneticPr fontId="3" type="noConversion"/>
  </si>
  <si>
    <t>임대(기부채납)</t>
    <phoneticPr fontId="3" type="noConversion"/>
  </si>
  <si>
    <t>임대(법적상한)</t>
    <phoneticPr fontId="3" type="noConversion"/>
  </si>
  <si>
    <t>분양가/(평당)</t>
    <phoneticPr fontId="3" type="noConversion"/>
  </si>
  <si>
    <t>계약면적</t>
    <phoneticPr fontId="3" type="noConversion"/>
  </si>
  <si>
    <t>연면적누계</t>
    <phoneticPr fontId="3" type="noConversion"/>
  </si>
  <si>
    <t>활용해야 할 힌트 : 다른단지와 달리 전용 대비 계약(연면적)제시 비율은 임대주택관련 면적을 기재하면서 제시해두었음 - 이 임대주택의 계약면적을 주택 연면적 산정에 활용</t>
    <phoneticPr fontId="3" type="noConversion"/>
  </si>
  <si>
    <t>조분총액</t>
    <phoneticPr fontId="3" type="noConversion"/>
  </si>
  <si>
    <t>조분 분양평</t>
    <phoneticPr fontId="3" type="noConversion"/>
  </si>
  <si>
    <t>조합원분양가의 타입별 금액을 상세하게 세분화하여 기재하였음 -&gt; 온라인 추정 위해 일괄 단가로 재산정</t>
    <phoneticPr fontId="3" type="noConversion"/>
  </si>
  <si>
    <t>일분총액</t>
    <phoneticPr fontId="3" type="noConversion"/>
  </si>
  <si>
    <t>일분분양평</t>
    <phoneticPr fontId="3" type="noConversion"/>
  </si>
  <si>
    <t>공공주택 매각소계 (기부채납도 확인필요)</t>
    <phoneticPr fontId="3" type="noConversion"/>
  </si>
  <si>
    <t>상가종전</t>
    <phoneticPr fontId="3" type="noConversion"/>
  </si>
  <si>
    <t>상가권리</t>
    <phoneticPr fontId="3" type="noConversion"/>
  </si>
  <si>
    <t>상가분담금</t>
    <phoneticPr fontId="3" type="noConversion"/>
  </si>
  <si>
    <t>근생</t>
    <phoneticPr fontId="3" type="noConversion"/>
  </si>
  <si>
    <t>상가는 제시된 매출액을 그대로 차용 (실제 상가 조합원의 권리가액+분담금 합계와 상이하나 전체에서 차지하는 비중이 낮아 제시수치 그대로 적용)</t>
    <phoneticPr fontId="3" type="noConversion"/>
  </si>
  <si>
    <t>분양대상면적</t>
    <phoneticPr fontId="3" type="noConversion"/>
  </si>
  <si>
    <t>정담연면적 -&gt;</t>
    <phoneticPr fontId="3" type="noConversion"/>
  </si>
  <si>
    <t>안맞는데?</t>
    <phoneticPr fontId="3" type="noConversion"/>
  </si>
  <si>
    <t>정답연면적과 분양대상면적 차이 -&gt;</t>
    <phoneticPr fontId="3" type="noConversion"/>
  </si>
  <si>
    <t>여튼 적용연면적</t>
    <phoneticPr fontId="3" type="noConversion"/>
  </si>
  <si>
    <t>경로당</t>
    <phoneticPr fontId="3" type="noConversion"/>
  </si>
  <si>
    <t>어린이집</t>
    <phoneticPr fontId="3" type="noConversion"/>
  </si>
  <si>
    <t>작은도서관</t>
    <phoneticPr fontId="3" type="noConversion"/>
  </si>
  <si>
    <t>주민운동시설</t>
    <phoneticPr fontId="3" type="noConversion"/>
  </si>
  <si>
    <t>실내</t>
    <phoneticPr fontId="3" type="noConversion"/>
  </si>
  <si>
    <t>실외</t>
    <phoneticPr fontId="3" type="noConversion"/>
  </si>
  <si>
    <t>놀이터</t>
    <phoneticPr fontId="3" type="noConversion"/>
  </si>
  <si>
    <t>다함께돌봄센터</t>
    <phoneticPr fontId="3" type="noConversion"/>
  </si>
  <si>
    <t>에듀커뮤니티</t>
    <phoneticPr fontId="3" type="noConversion"/>
  </si>
  <si>
    <t>문화커뮤니티</t>
    <phoneticPr fontId="3" type="noConversion"/>
  </si>
  <si>
    <t>수변커뮤니티</t>
    <phoneticPr fontId="3" type="noConversion"/>
  </si>
  <si>
    <t>관리사무소</t>
    <phoneticPr fontId="3" type="noConversion"/>
  </si>
  <si>
    <t>경비실</t>
    <phoneticPr fontId="3" type="noConversion"/>
  </si>
  <si>
    <t>참고로 고시문에 제시되어 찾아본 공동이용시설면적</t>
    <phoneticPr fontId="3" type="noConversion"/>
  </si>
  <si>
    <t>아파트</t>
    <phoneticPr fontId="3" type="noConversion"/>
  </si>
  <si>
    <t>구분</t>
  </si>
  <si>
    <t>전용 면적(m2)</t>
  </si>
  <si>
    <t>공급 면적(m2)</t>
  </si>
  <si>
    <t>건물 면적(m2)</t>
  </si>
  <si>
    <t>대지 지분(m2)</t>
  </si>
  <si>
    <t>형별평균가격 (백만원)</t>
  </si>
  <si>
    <t>추정금액 (백만원)</t>
  </si>
  <si>
    <t>비고</t>
  </si>
  <si>
    <t>아파트</t>
  </si>
  <si>
    <t>소계</t>
  </si>
  <si>
    <t>-</t>
  </si>
  <si>
    <t>상가</t>
  </si>
  <si>
    <t>지층</t>
  </si>
  <si>
    <t>층별 합계 면적</t>
  </si>
  <si>
    <t>1층</t>
  </si>
  <si>
    <t>2층</t>
  </si>
  <si>
    <t>3층</t>
  </si>
  <si>
    <t>4층</t>
  </si>
  <si>
    <t>계</t>
  </si>
  <si>
    <t>종전자산추정계</t>
  </si>
  <si>
    <t>제시된 사업비와 추정한 연면적, 그리고 기타 공사비 가정(공사비의 약 30%)을 통해 연면적당 공사비 평단가 추정</t>
    <phoneticPr fontId="3" type="noConversion"/>
  </si>
  <si>
    <t>불필요한부분일듯?</t>
    <phoneticPr fontId="3" type="noConversion"/>
  </si>
  <si>
    <t>조합원분양가의 타입별 금액을 상세하게 세분화하여 기재하였음 -&gt; 온라인 추정 위해 일괄 단가로 재산정 / 다만, 신반포 2차는 전용84의 일반분양가와 조합원 분양가를 동일하게 세팅한 부분에서 미미한 차이가 있을 수 있다.</t>
    <phoneticPr fontId="3" type="noConversion"/>
  </si>
  <si>
    <t>84 기준</t>
    <phoneticPr fontId="3" type="noConversion"/>
  </si>
  <si>
    <t>기부채납</t>
    <phoneticPr fontId="3" type="noConversion"/>
  </si>
  <si>
    <t>임대아파트 분양가는 시뮬레이터에서는 고정</t>
    <phoneticPr fontId="3" type="noConversion"/>
  </si>
  <si>
    <t>평당 575만원 : 건축비정도 받는셈 ㅇㅋ</t>
    <phoneticPr fontId="3" type="noConversion"/>
  </si>
  <si>
    <t>근린생활시설 분양가는 시뮬레이터에서는 고정</t>
    <phoneticPr fontId="3" type="noConversion"/>
  </si>
  <si>
    <t>*) 평균 치환</t>
    <phoneticPr fontId="3" type="noConversion"/>
  </si>
  <si>
    <t>구축</t>
    <phoneticPr fontId="3" type="noConversion"/>
  </si>
  <si>
    <r>
      <rPr>
        <b/>
        <sz val="11"/>
        <color rgb="FF1F1F1F"/>
        <rFont val="맑은 고딕"/>
        <family val="2"/>
        <charset val="129"/>
      </rPr>
      <t>종후</t>
    </r>
    <phoneticPr fontId="3" type="noConversion"/>
  </si>
  <si>
    <r>
      <rPr>
        <b/>
        <sz val="11"/>
        <color rgb="FF1F1F1F"/>
        <rFont val="맑은 고딕"/>
        <family val="2"/>
        <charset val="129"/>
      </rPr>
      <t>권리가액</t>
    </r>
    <phoneticPr fontId="3" type="noConversion"/>
  </si>
  <si>
    <t>분담금 시뮬레이션</t>
    <phoneticPr fontId="3" type="noConversion"/>
  </si>
  <si>
    <t>마진 계산용 참고단지 자료</t>
    <phoneticPr fontId="3" type="noConversion"/>
  </si>
  <si>
    <t>서울특별시 고시 제2024-350호</t>
    <phoneticPr fontId="3" type="noConversion"/>
  </si>
  <si>
    <t>일분1전유면적m2</t>
    <phoneticPr fontId="3" type="noConversion"/>
  </si>
  <si>
    <t>일분1분양면적m2</t>
    <phoneticPr fontId="3" type="noConversion"/>
  </si>
  <si>
    <t>일분2전유면적m2</t>
    <phoneticPr fontId="3" type="noConversion"/>
  </si>
  <si>
    <t>일분2분양면적m2</t>
    <phoneticPr fontId="3" type="noConversion"/>
  </si>
  <si>
    <t>일분2세대수</t>
    <phoneticPr fontId="3" type="noConversion"/>
  </si>
  <si>
    <t>일분3전유면적m2</t>
    <phoneticPr fontId="3" type="noConversion"/>
  </si>
  <si>
    <t>일분3분양면적m2</t>
    <phoneticPr fontId="3" type="noConversion"/>
  </si>
  <si>
    <t>일분3세대수</t>
    <phoneticPr fontId="3" type="noConversion"/>
  </si>
  <si>
    <t>임대1전유면적m2</t>
    <phoneticPr fontId="3" type="noConversion"/>
  </si>
  <si>
    <t>임대1분양면적m2</t>
    <phoneticPr fontId="3" type="noConversion"/>
  </si>
  <si>
    <t>임대1세대수</t>
    <phoneticPr fontId="3" type="noConversion"/>
  </si>
  <si>
    <t>임대2전유면적m2</t>
    <phoneticPr fontId="3" type="noConversion"/>
  </si>
  <si>
    <t>임대2분양면적m2</t>
    <phoneticPr fontId="3" type="noConversion"/>
  </si>
  <si>
    <t>임대2세대수</t>
    <phoneticPr fontId="3" type="noConversion"/>
  </si>
  <si>
    <t>임대3전유면적m2</t>
    <phoneticPr fontId="3" type="noConversion"/>
  </si>
  <si>
    <t>임대3분양면적m2</t>
    <phoneticPr fontId="3" type="noConversion"/>
  </si>
  <si>
    <t>임대3세대수</t>
    <phoneticPr fontId="3" type="noConversion"/>
  </si>
  <si>
    <t>구글링/주차대수x세대당 50m2 접근시 1%이내 편차 가능</t>
    <phoneticPr fontId="3" type="noConversion"/>
  </si>
  <si>
    <t>조분4전유면적m2</t>
  </si>
  <si>
    <t>조분4분양면적m2</t>
  </si>
  <si>
    <t>조분4세대수</t>
  </si>
  <si>
    <t>조분5전유면적m2</t>
  </si>
  <si>
    <t>조분5분양면적m2</t>
  </si>
  <si>
    <t>조분5세대수</t>
  </si>
  <si>
    <t>조분6전유면적m2</t>
  </si>
  <si>
    <t>조분6분양면적m2</t>
  </si>
  <si>
    <t>조분6세대수</t>
  </si>
  <si>
    <t>조분7전유면적m2</t>
  </si>
  <si>
    <t>조분7분양면적m2</t>
  </si>
  <si>
    <t>조분7세대수</t>
  </si>
  <si>
    <t>조분8전유면적m2</t>
  </si>
  <si>
    <t>조분8분양면적m2</t>
  </si>
  <si>
    <t>조분8세대수</t>
  </si>
  <si>
    <t>조분9전유면적m2</t>
  </si>
  <si>
    <t>조분9분양면적m2</t>
  </si>
  <si>
    <t>조분9세대수</t>
  </si>
  <si>
    <t>임대4전유면적m2</t>
    <phoneticPr fontId="3" type="noConversion"/>
  </si>
  <si>
    <t>임대4분양면적m2</t>
    <phoneticPr fontId="3" type="noConversion"/>
  </si>
  <si>
    <t>임대4세대수</t>
    <phoneticPr fontId="3" type="noConversion"/>
  </si>
  <si>
    <t>고시문</t>
    <phoneticPr fontId="3" type="noConversion"/>
  </si>
  <si>
    <t>전용 84 조분가</t>
  </si>
  <si>
    <t>84 신축가액</t>
  </si>
  <si>
    <t>종전1권리가액</t>
    <phoneticPr fontId="3" type="noConversion"/>
  </si>
  <si>
    <t>종전1분담금</t>
    <phoneticPr fontId="3" type="noConversion"/>
  </si>
  <si>
    <t>종전2권리가액</t>
  </si>
  <si>
    <t>종전2분담금</t>
  </si>
  <si>
    <t>종전3권리가액</t>
  </si>
  <si>
    <t>종전3분담금</t>
  </si>
  <si>
    <t>종전4권리가액</t>
  </si>
  <si>
    <t>종전4분담금</t>
  </si>
  <si>
    <t>종전5권리가액</t>
  </si>
  <si>
    <t>종전5분담금</t>
  </si>
  <si>
    <t>종전6권리가액</t>
  </si>
  <si>
    <t>종전6분담금</t>
  </si>
  <si>
    <t>종전7권리가액</t>
  </si>
  <si>
    <t>종전7분담금</t>
  </si>
  <si>
    <t>종전8권리가액</t>
  </si>
  <si>
    <t>종전8분담금</t>
  </si>
  <si>
    <t>종전9권리가액</t>
  </si>
  <si>
    <t>종전9분담금</t>
  </si>
  <si>
    <t>종전10권리가액</t>
  </si>
  <si>
    <t>종전10분담금</t>
  </si>
  <si>
    <t>종전11권리가액</t>
  </si>
  <si>
    <t>종전11분담금</t>
  </si>
  <si>
    <t>종전12권리가액</t>
  </si>
  <si>
    <t>종전12분담금</t>
  </si>
  <si>
    <t>종전13권리가액</t>
  </si>
  <si>
    <t>종전13분담금</t>
  </si>
  <si>
    <t>종전14권리가액</t>
  </si>
  <si>
    <t>종전14분담금</t>
  </si>
  <si>
    <t>종전15권리가액</t>
  </si>
  <si>
    <t>종전15분담금</t>
  </si>
  <si>
    <t>종전16권리가액</t>
  </si>
  <si>
    <t>종전16분담금</t>
  </si>
  <si>
    <t>종전17권리가액</t>
  </si>
  <si>
    <t>종전17분담금</t>
  </si>
  <si>
    <t>종전18권리가액</t>
  </si>
  <si>
    <t>종전18분담금</t>
  </si>
  <si>
    <t>종전19권리가액</t>
  </si>
  <si>
    <t>종전19분담금</t>
  </si>
  <si>
    <t>종전20권리가액</t>
  </si>
  <si>
    <t>종전20분담금</t>
  </si>
  <si>
    <t>종전21권리가액</t>
  </si>
  <si>
    <t>종전21분담금</t>
  </si>
  <si>
    <t>종전22권리가액</t>
  </si>
  <si>
    <t>종전22분담금</t>
  </si>
  <si>
    <t>마진 시뮬레이션</t>
  </si>
  <si>
    <t>슬라이더</t>
    <phoneticPr fontId="3" type="noConversion"/>
  </si>
  <si>
    <t>매주업데이트</t>
    <phoneticPr fontId="3" type="noConversion"/>
  </si>
  <si>
    <t>종전2총투자금(KB시세+분담금)</t>
  </si>
  <si>
    <t>종전2마진</t>
  </si>
  <si>
    <t>종전3총투자금(KB시세+분담금)</t>
  </si>
  <si>
    <t>종전3마진</t>
  </si>
  <si>
    <t>종전4총투자금(KB시세+분담금)</t>
  </si>
  <si>
    <t>종전4마진</t>
  </si>
  <si>
    <t>종전5총투자금(KB시세+분담금)</t>
  </si>
  <si>
    <t>종전5마진</t>
  </si>
  <si>
    <t>종전6총투자금(KB시세+분담금)</t>
  </si>
  <si>
    <t>종전6마진</t>
  </si>
  <si>
    <t>종전7총투자금(KB시세+분담금)</t>
  </si>
  <si>
    <t>종전7마진</t>
  </si>
  <si>
    <t>종전8총투자금(KB시세+분담금)</t>
  </si>
  <si>
    <t>종전8마진</t>
  </si>
  <si>
    <t>종전9총투자금(KB시세+분담금)</t>
  </si>
  <si>
    <t>종전9마진</t>
  </si>
  <si>
    <t>종전10총투자금(KB시세+분담금)</t>
  </si>
  <si>
    <t>종전10마진</t>
  </si>
  <si>
    <t>종전11총투자금(KB시세+분담금)</t>
  </si>
  <si>
    <t>종전11마진</t>
  </si>
  <si>
    <t>종전12총투자금(KB시세+분담금)</t>
  </si>
  <si>
    <t>종전12마진</t>
  </si>
  <si>
    <t>종전13총투자금(KB시세+분담금)</t>
  </si>
  <si>
    <t>종전13마진</t>
  </si>
  <si>
    <t>종전14총투자금(KB시세+분담금)</t>
  </si>
  <si>
    <t>종전14마진</t>
  </si>
  <si>
    <t>종전15총투자금(KB시세+분담금)</t>
  </si>
  <si>
    <t>종전15마진</t>
  </si>
  <si>
    <t>종전16총투자금(KB시세+분담금)</t>
  </si>
  <si>
    <t>종전16마진</t>
  </si>
  <si>
    <t>종전17총투자금(KB시세+분담금)</t>
  </si>
  <si>
    <t>종전17마진</t>
  </si>
  <si>
    <t>종전18총투자금(KB시세+분담금)</t>
  </si>
  <si>
    <t>종전18마진</t>
  </si>
  <si>
    <t>종전19총투자금(KB시세+분담금)</t>
  </si>
  <si>
    <t>종전19마진</t>
  </si>
  <si>
    <t>종전20총투자금(KB시세+분담금)</t>
  </si>
  <si>
    <t>종전20마진</t>
  </si>
  <si>
    <t>종전21총투자금(KB시세+분담금)</t>
  </si>
  <si>
    <t>종전21마진</t>
  </si>
  <si>
    <t>종전22총투자금(KB시세+분담금)</t>
  </si>
  <si>
    <t>종전22마진</t>
  </si>
  <si>
    <t>전용84분양면적</t>
  </si>
  <si>
    <t>종전1총투자금(KB시세+분담금)</t>
  </si>
  <si>
    <t>종전1마진</t>
  </si>
  <si>
    <t>종전1ROI수익률</t>
  </si>
  <si>
    <t>종전2ROI수익률</t>
  </si>
  <si>
    <t>종전3ROI수익률</t>
  </si>
  <si>
    <t>종전4ROI수익률</t>
  </si>
  <si>
    <t>종전5ROI수익률</t>
  </si>
  <si>
    <t>종전6ROI수익률</t>
  </si>
  <si>
    <t>종전7ROI수익률</t>
  </si>
  <si>
    <t>종전8ROI수익률</t>
  </si>
  <si>
    <t>종전9ROI수익률</t>
  </si>
  <si>
    <t>종전10ROI수익률</t>
  </si>
  <si>
    <t>종전11ROI수익률</t>
  </si>
  <si>
    <t>종전12ROI수익률</t>
  </si>
  <si>
    <t>종전13ROI수익률</t>
  </si>
  <si>
    <t>종전14ROI수익률</t>
  </si>
  <si>
    <t>종전15ROI수익률</t>
  </si>
  <si>
    <t>종전16ROI수익률</t>
  </si>
  <si>
    <t>종전17ROI수익률</t>
  </si>
  <si>
    <t>종전18ROI수익률</t>
  </si>
  <si>
    <t>종전19ROI수익률</t>
  </si>
  <si>
    <t>종전20ROI수익률</t>
  </si>
  <si>
    <t>종전21ROI수익률</t>
  </si>
  <si>
    <t>종전22ROI수익률</t>
  </si>
  <si>
    <t>랭킹 기준</t>
  </si>
  <si>
    <t>최대 ROI 수익률</t>
  </si>
  <si>
    <t>PDF 31</t>
    <phoneticPr fontId="3" type="noConversion"/>
  </si>
  <si>
    <t>PDF 20</t>
    <phoneticPr fontId="3" type="noConversion"/>
  </si>
  <si>
    <t>pdf 19</t>
    <phoneticPr fontId="3" type="noConversion"/>
  </si>
  <si>
    <t>이 부분, 정답을 알고 있기에 넣었지만</t>
    <phoneticPr fontId="3" type="noConversion"/>
  </si>
  <si>
    <t>시공사선정 입찰공고(260212) 기준</t>
    <phoneticPr fontId="3" type="noConversion"/>
  </si>
  <si>
    <t>기존 산출 로직과 충돌(주차대수당 50m2-&gt;크게 초과)</t>
    <phoneticPr fontId="3" type="noConversion"/>
  </si>
  <si>
    <t>평당공사비</t>
    <phoneticPr fontId="3" type="noConversion"/>
  </si>
  <si>
    <t>pdf 32</t>
    <phoneticPr fontId="3" type="noConversion"/>
  </si>
  <si>
    <t>pdf 32</t>
  </si>
  <si>
    <t>일분가의 타입별 금액을 상세하게 세분화하여 기재하였음 -&gt; 온라인 추정 위해 일괄 단가로 재산정</t>
    <phoneticPr fontId="3" type="noConversion"/>
  </si>
  <si>
    <t>공공주택매각</t>
    <phoneticPr fontId="3" type="noConversion"/>
  </si>
  <si>
    <t>근생소계</t>
    <phoneticPr fontId="3" type="noConversion"/>
  </si>
  <si>
    <t>근생1 2층</t>
    <phoneticPr fontId="3" type="noConversion"/>
  </si>
  <si>
    <t>근생1 1층</t>
    <phoneticPr fontId="3" type="noConversion"/>
  </si>
  <si>
    <t>근생2 1층</t>
    <phoneticPr fontId="3" type="noConversion"/>
  </si>
  <si>
    <t>근생3 1층</t>
    <phoneticPr fontId="3" type="noConversion"/>
  </si>
  <si>
    <t>근생4 1층</t>
    <phoneticPr fontId="3" type="noConversion"/>
  </si>
  <si>
    <t>부가세수입차감액</t>
    <phoneticPr fontId="3" type="noConversion"/>
  </si>
  <si>
    <t>기타수입(조합원이주비대여금이자회수)</t>
    <phoneticPr fontId="3" type="noConversion"/>
  </si>
  <si>
    <t>총수입</t>
    <phoneticPr fontId="3" type="noConversion"/>
  </si>
  <si>
    <t>pdf 31</t>
    <phoneticPr fontId="3" type="noConversion"/>
  </si>
  <si>
    <t>pdf 31</t>
  </si>
  <si>
    <t>상가</t>
    <phoneticPr fontId="3" type="noConversion"/>
  </si>
  <si>
    <t>상가2층</t>
    <phoneticPr fontId="3" type="noConversion"/>
  </si>
  <si>
    <t>상가1층</t>
    <phoneticPr fontId="3" type="noConversion"/>
  </si>
  <si>
    <t>관리2층</t>
    <phoneticPr fontId="3" type="noConversion"/>
  </si>
  <si>
    <t>관리1층</t>
    <phoneticPr fontId="3" type="noConversion"/>
  </si>
  <si>
    <t>복리2층</t>
    <phoneticPr fontId="3" type="noConversion"/>
  </si>
  <si>
    <t>복리1층</t>
    <phoneticPr fontId="3" type="noConversion"/>
  </si>
  <si>
    <t>*) 기타사업비 비율이 다소 높은편, 다만 제시자료 적용</t>
    <phoneticPr fontId="3" type="noConversion"/>
  </si>
  <si>
    <t>참고 : 26.04 기준 950만원</t>
    <phoneticPr fontId="3" type="noConversion"/>
  </si>
  <si>
    <t>당산센트럴아이파크</t>
    <phoneticPr fontId="3" type="noConversion"/>
  </si>
  <si>
    <t>목동6단지</t>
    <phoneticPr fontId="3" type="noConversion"/>
  </si>
  <si>
    <t>연면적 출처</t>
    <phoneticPr fontId="3" type="noConversion"/>
  </si>
  <si>
    <t>서울특별시 양천구 목동 911</t>
    <phoneticPr fontId="3" type="noConversion"/>
  </si>
  <si>
    <t>서울특별시 고시 제2024-401호</t>
    <phoneticPr fontId="3" type="noConversion"/>
  </si>
  <si>
    <t>참조단지
전용84분양면적</t>
    <phoneticPr fontId="3" type="noConversion"/>
  </si>
  <si>
    <t>참조단지
전용84KB시세</t>
    <phoneticPr fontId="3" type="noConversion"/>
  </si>
  <si>
    <t>여기부터 2026-05-18 / 09:27</t>
    <phoneticPr fontId="3" type="noConversion"/>
  </si>
  <si>
    <t>종전-단지명</t>
    <phoneticPr fontId="3" type="noConversion"/>
  </si>
  <si>
    <t>종전-타입명</t>
    <phoneticPr fontId="3" type="noConversion"/>
  </si>
  <si>
    <t>종후자산합계</t>
    <phoneticPr fontId="3" type="noConversion"/>
  </si>
  <si>
    <t>사업비합계</t>
    <phoneticPr fontId="3" type="noConversion"/>
  </si>
  <si>
    <t>종전합계</t>
    <phoneticPr fontId="3" type="noConversion"/>
  </si>
  <si>
    <t>타입별종전자산</t>
    <phoneticPr fontId="3" type="noConversion"/>
  </si>
  <si>
    <t>종전자산(주택)합계</t>
    <phoneticPr fontId="3" type="noConversion"/>
  </si>
  <si>
    <t>기타종전자산
(계산결과)</t>
    <phoneticPr fontId="3" type="noConversion"/>
  </si>
  <si>
    <t>공사비(계산결과)</t>
    <phoneticPr fontId="3" type="noConversion"/>
  </si>
  <si>
    <t>기타사업비(계산결과)</t>
    <phoneticPr fontId="3" type="noConversion"/>
  </si>
  <si>
    <t>공사비 대비 기타사업비 비율</t>
    <phoneticPr fontId="3" type="noConversion"/>
  </si>
  <si>
    <t>일반분양</t>
    <phoneticPr fontId="3" type="noConversion"/>
  </si>
  <si>
    <t>조합분양</t>
    <phoneticPr fontId="3" type="noConversion"/>
  </si>
  <si>
    <t>주택 외</t>
    <phoneticPr fontId="3" type="noConversion"/>
  </si>
  <si>
    <t>일반분양총액</t>
    <phoneticPr fontId="3" type="noConversion"/>
  </si>
  <si>
    <t>조합분양총액</t>
    <phoneticPr fontId="3" type="noConversion"/>
  </si>
  <si>
    <t>종전세대수</t>
    <phoneticPr fontId="3" type="noConversion"/>
  </si>
  <si>
    <t>(일분+조분)분양세대수</t>
    <phoneticPr fontId="3" type="noConversion"/>
  </si>
  <si>
    <t>분양1세대수</t>
    <phoneticPr fontId="3" type="noConversion"/>
  </si>
  <si>
    <t>분양1면적</t>
    <phoneticPr fontId="3" type="noConversion"/>
  </si>
  <si>
    <t>분양2세대수</t>
    <phoneticPr fontId="3" type="noConversion"/>
  </si>
  <si>
    <t>분양2면적</t>
    <phoneticPr fontId="3" type="noConversion"/>
  </si>
  <si>
    <t>분양3세대수</t>
    <phoneticPr fontId="3" type="noConversion"/>
  </si>
  <si>
    <t>분양3면적</t>
    <phoneticPr fontId="3" type="noConversion"/>
  </si>
  <si>
    <t>임대1면적</t>
    <phoneticPr fontId="3" type="noConversion"/>
  </si>
  <si>
    <t>임대2면적</t>
    <phoneticPr fontId="3" type="noConversion"/>
  </si>
  <si>
    <t>일분세대수(계산)</t>
    <phoneticPr fontId="3" type="noConversion"/>
  </si>
  <si>
    <t>원천데이터</t>
    <phoneticPr fontId="3" type="noConversion"/>
  </si>
  <si>
    <t>계산데이터</t>
    <phoneticPr fontId="3" type="noConversion"/>
  </si>
  <si>
    <t>전문가판단</t>
    <phoneticPr fontId="3" type="noConversion"/>
  </si>
  <si>
    <t>사용자표시</t>
    <phoneticPr fontId="3" type="noConversion"/>
  </si>
  <si>
    <t>출처</t>
    <phoneticPr fontId="3" type="noConversion"/>
  </si>
  <si>
    <t>종전-세대단가</t>
    <phoneticPr fontId="3" type="noConversion"/>
  </si>
  <si>
    <t>압구정3특별로직</t>
    <phoneticPr fontId="3" type="noConversion"/>
  </si>
  <si>
    <t>임대단가</t>
    <phoneticPr fontId="3" type="noConversion"/>
  </si>
  <si>
    <t>임대분양가</t>
    <phoneticPr fontId="3" type="noConversion"/>
  </si>
  <si>
    <t>분양1조분세대수</t>
    <phoneticPr fontId="3" type="noConversion"/>
  </si>
  <si>
    <t>분양1일분세대수</t>
    <phoneticPr fontId="3" type="noConversion"/>
  </si>
  <si>
    <t>주택분양가</t>
    <phoneticPr fontId="3" type="noConversion"/>
  </si>
  <si>
    <t>분양3 면적 추정</t>
    <phoneticPr fontId="3" type="noConversion"/>
  </si>
  <si>
    <t>59조분+일분</t>
    <phoneticPr fontId="3" type="noConversion"/>
  </si>
  <si>
    <t>84조분+일분</t>
    <phoneticPr fontId="3" type="noConversion"/>
  </si>
  <si>
    <t>일분 분양평단가</t>
    <phoneticPr fontId="3" type="noConversion"/>
  </si>
  <si>
    <t>조분 분양평단가</t>
    <phoneticPr fontId="3" type="noConversion"/>
  </si>
  <si>
    <t>분양3 분양가</t>
    <phoneticPr fontId="3" type="noConversion"/>
  </si>
  <si>
    <t>경험치</t>
    <phoneticPr fontId="3" type="noConversion"/>
  </si>
  <si>
    <t>2차계산</t>
    <phoneticPr fontId="3" type="noConversion"/>
  </si>
  <si>
    <t>KB시점</t>
    <phoneticPr fontId="3" type="noConversion"/>
  </si>
  <si>
    <t>임대수입</t>
    <phoneticPr fontId="3" type="noConversion"/>
  </si>
  <si>
    <t>모든 단지 로직</t>
    <phoneticPr fontId="3" type="noConversion"/>
  </si>
  <si>
    <t>공사비 뽑아내기</t>
    <phoneticPr fontId="3" type="noConversion"/>
  </si>
  <si>
    <t>시뮬레이터</t>
    <phoneticPr fontId="3" type="noConversion"/>
  </si>
  <si>
    <t>전용84 조합원분양가</t>
    <phoneticPr fontId="3" type="noConversion"/>
  </si>
  <si>
    <t>종전 타입별 분담금</t>
    <phoneticPr fontId="3" type="noConversion"/>
  </si>
  <si>
    <t>종후자산합계(계산결과)</t>
    <phoneticPr fontId="3" type="noConversion"/>
  </si>
  <si>
    <t>사업비합계
(계산결과)</t>
  </si>
  <si>
    <t>사업비합계
(계산결과)</t>
    <phoneticPr fontId="3" type="noConversion"/>
  </si>
  <si>
    <t>비례율(계산결과)</t>
    <phoneticPr fontId="3" type="noConversion"/>
  </si>
  <si>
    <t>계산결과와 고시문자료 크로스체크 필요</t>
    <phoneticPr fontId="3" type="noConversion"/>
  </si>
  <si>
    <t>유사단지선정</t>
    <phoneticPr fontId="3" type="noConversion"/>
  </si>
  <si>
    <t>유사단지 분양면적</t>
    <phoneticPr fontId="3" type="noConversion"/>
  </si>
  <si>
    <t>유사단지평단가</t>
    <phoneticPr fontId="3" type="noConversion"/>
  </si>
  <si>
    <t>본건전용84신축가격(추정)</t>
    <phoneticPr fontId="3" type="noConversion"/>
  </si>
  <si>
    <t>유사단지 주소</t>
    <phoneticPr fontId="3" type="noConversion"/>
  </si>
  <si>
    <t>래미안원베일리</t>
    <phoneticPr fontId="3" type="noConversion"/>
  </si>
  <si>
    <t>서울시 서초구 반포동 1</t>
    <phoneticPr fontId="3" type="noConversion"/>
  </si>
  <si>
    <t>본건84분양면적</t>
    <phoneticPr fontId="3" type="noConversion"/>
  </si>
  <si>
    <t>수익률</t>
    <phoneticPr fontId="3" type="noConversion"/>
  </si>
  <si>
    <t>종전 타입별로 바뀌는 항목</t>
    <phoneticPr fontId="3" type="noConversion"/>
  </si>
  <si>
    <t>적용KB분양면적</t>
    <phoneticPr fontId="3" type="noConversion"/>
  </si>
  <si>
    <t>종전타입수</t>
    <phoneticPr fontId="3" type="noConversion"/>
  </si>
  <si>
    <t>1,2차</t>
  </si>
  <si>
    <t>3차</t>
  </si>
  <si>
    <t>4차</t>
  </si>
  <si>
    <t>5차</t>
  </si>
  <si>
    <t>6,7차</t>
  </si>
  <si>
    <t>10차</t>
  </si>
  <si>
    <t>13차</t>
  </si>
  <si>
    <t>36A</t>
  </si>
  <si>
    <t>36B</t>
  </si>
  <si>
    <t>14차</t>
  </si>
  <si>
    <t>대림아크로빌</t>
  </si>
  <si>
    <t>대림빌라트</t>
  </si>
  <si>
    <t>현대빌라트</t>
  </si>
  <si>
    <t>96,99</t>
    <phoneticPr fontId="3" type="noConversion"/>
  </si>
  <si>
    <t>KB 시세 없는 자료 추정</t>
    <phoneticPr fontId="3" type="noConversion"/>
  </si>
  <si>
    <t>KB(X)-아크로빌기준추정</t>
    <phoneticPr fontId="3" type="noConversion"/>
  </si>
  <si>
    <t>서울특별시고시 제2024-350호</t>
    <phoneticPr fontId="3" type="noConversion"/>
  </si>
  <si>
    <t>신반포2page</t>
    <phoneticPr fontId="3" type="noConversion"/>
  </si>
  <si>
    <t>압구정3page</t>
    <phoneticPr fontId="3" type="noConversion"/>
  </si>
  <si>
    <t>신반포3 특별로직</t>
    <phoneticPr fontId="3" type="noConversion"/>
  </si>
  <si>
    <t>임대세대수(법적상한)</t>
    <phoneticPr fontId="3" type="noConversion"/>
  </si>
  <si>
    <t>임대세대수(기부채납)</t>
    <phoneticPr fontId="3" type="noConversion"/>
  </si>
  <si>
    <t>*) 여긴 종후 면적과 종후 가액 합계가 나와 있어서 평균적인 종후 자산 평단가 뽑아내는게 포커스</t>
    <phoneticPr fontId="3" type="noConversion"/>
  </si>
  <si>
    <t>*) 압구정3구역은, 종후 평단가가 나와있지만, 종후 면적이 자세히 나와있지 않아서, 여기서 분양평형(3)을 이끌어내는 것이 또한 포커스다</t>
    <phoneticPr fontId="3" type="noConversion"/>
  </si>
  <si>
    <t>조합원분양가총액</t>
    <phoneticPr fontId="3" type="noConversion"/>
  </si>
  <si>
    <t>일반분양가총액</t>
    <phoneticPr fontId="3" type="noConversion"/>
  </si>
  <si>
    <t>조합원분양면적총액</t>
    <phoneticPr fontId="3" type="noConversion"/>
  </si>
  <si>
    <t>일반분양면적총액</t>
    <phoneticPr fontId="3" type="noConversion"/>
  </si>
  <si>
    <t>평균 조합원분양 단가</t>
    <phoneticPr fontId="3" type="noConversion"/>
  </si>
  <si>
    <t>평균 일반분양단가</t>
    <phoneticPr fontId="3" type="noConversion"/>
  </si>
  <si>
    <t>일반분양총액</t>
  </si>
  <si>
    <t>일분 분양평단가</t>
  </si>
  <si>
    <t>조합분양총액</t>
  </si>
  <si>
    <t>조분 분양평단가</t>
  </si>
  <si>
    <t>임대수입</t>
  </si>
  <si>
    <t>주택 외</t>
  </si>
  <si>
    <t>공사비(계산결과)</t>
  </si>
  <si>
    <t>기타사업비(계산결과)</t>
  </si>
  <si>
    <t>공사비 대비 기타사업비 비율</t>
  </si>
  <si>
    <t>평당공사비</t>
  </si>
  <si>
    <t>기타종전자산
(계산결과)</t>
  </si>
  <si>
    <t>일반분양면적</t>
    <phoneticPr fontId="3" type="noConversion"/>
  </si>
  <si>
    <t>조합원분양 면적</t>
    <phoneticPr fontId="3" type="noConversion"/>
  </si>
  <si>
    <t>시뮬레이션결과</t>
    <phoneticPr fontId="3" type="noConversion"/>
  </si>
  <si>
    <t>배율</t>
    <phoneticPr fontId="3" type="noConversion"/>
  </si>
  <si>
    <t>서울특별시고시 제2024-401호</t>
    <phoneticPr fontId="3" type="noConversion"/>
  </si>
  <si>
    <t>시공사선정 입찰공고(260212)</t>
    <phoneticPr fontId="3" type="noConversion"/>
  </si>
  <si>
    <t>목동6page</t>
    <phoneticPr fontId="3" type="noConversion"/>
  </si>
  <si>
    <t>주택 외(VAT/대여금이자포함)</t>
    <phoneticPr fontId="3" type="noConversion"/>
  </si>
  <si>
    <t>목동힐스테이트</t>
    <phoneticPr fontId="3" type="noConversion"/>
  </si>
  <si>
    <t>서울시 양천구 신정동 1323</t>
    <phoneticPr fontId="3" type="noConversion"/>
  </si>
  <si>
    <t>목동6 동일 로직</t>
    <phoneticPr fontId="3" type="noConversion"/>
  </si>
  <si>
    <t>pdf 26</t>
    <phoneticPr fontId="3" type="noConversion"/>
  </si>
  <si>
    <t>pdf 15</t>
    <phoneticPr fontId="3" type="noConversion"/>
  </si>
  <si>
    <t>pdf 25</t>
    <phoneticPr fontId="3" type="noConversion"/>
  </si>
  <si>
    <t>pdf 23</t>
    <phoneticPr fontId="3" type="noConversion"/>
  </si>
  <si>
    <t>정답은 565,977.06 이라는데…그러면 로직이 안맞아</t>
    <phoneticPr fontId="3" type="noConversion"/>
  </si>
  <si>
    <t>조분가</t>
    <phoneticPr fontId="3" type="noConversion"/>
  </si>
  <si>
    <t>일분평단가</t>
    <phoneticPr fontId="3" type="noConversion"/>
  </si>
  <si>
    <t>30~60</t>
    <phoneticPr fontId="3" type="noConversion"/>
  </si>
  <si>
    <t>공공주택</t>
    <phoneticPr fontId="3" type="noConversion"/>
  </si>
  <si>
    <t>85 초과 제외</t>
    <phoneticPr fontId="3" type="noConversion"/>
  </si>
  <si>
    <t>85 초과 분양가</t>
    <phoneticPr fontId="3" type="noConversion"/>
  </si>
  <si>
    <t>총 분양가</t>
    <phoneticPr fontId="3" type="noConversion"/>
  </si>
  <si>
    <t>연면적 계</t>
    <phoneticPr fontId="3" type="noConversion"/>
  </si>
  <si>
    <t>역산 추정</t>
    <phoneticPr fontId="3" type="noConversion"/>
  </si>
  <si>
    <t>상가 제외</t>
    <phoneticPr fontId="3" type="noConversion"/>
  </si>
  <si>
    <t>상가포함</t>
    <phoneticPr fontId="3" type="noConversion"/>
  </si>
  <si>
    <t>*) 역산 추정</t>
    <phoneticPr fontId="3" type="noConversion"/>
  </si>
  <si>
    <t>브라이튼 여의도</t>
    <phoneticPr fontId="3" type="noConversion"/>
  </si>
  <si>
    <t>여의도 시범</t>
    <phoneticPr fontId="3" type="noConversion"/>
  </si>
  <si>
    <t>서울특별시고시 제2025-80호</t>
    <phoneticPr fontId="3" type="noConversion"/>
  </si>
  <si>
    <t>서울특별시 영등포구 여의도동 50</t>
    <phoneticPr fontId="3" type="noConversion"/>
  </si>
  <si>
    <t>여의도시범page</t>
    <phoneticPr fontId="3" type="noConversion"/>
  </si>
  <si>
    <t>여의도시범 로직</t>
    <phoneticPr fontId="3" type="noConversion"/>
  </si>
  <si>
    <t>조분 분양평단가(계산)</t>
    <phoneticPr fontId="3" type="noConversion"/>
  </si>
  <si>
    <t>브라이튼여의도</t>
    <phoneticPr fontId="3" type="noConversion"/>
  </si>
  <si>
    <t>서울시 영등포구 여의도동 525</t>
    <phoneticPr fontId="3" type="noConversion"/>
  </si>
  <si>
    <t>정비 몽땅</t>
    <phoneticPr fontId="3" type="noConversion"/>
  </si>
  <si>
    <t>용적률300% 기준임 말도 안됨</t>
    <phoneticPr fontId="3" type="noConversion"/>
  </si>
  <si>
    <t>희림 홈피</t>
    <phoneticPr fontId="3" type="noConversion"/>
  </si>
  <si>
    <t>pdf 3</t>
    <phoneticPr fontId="3" type="noConversion"/>
  </si>
  <si>
    <t>통합심의결과</t>
    <phoneticPr fontId="3" type="noConversion"/>
  </si>
  <si>
    <t>pdf 8</t>
    <phoneticPr fontId="3" type="noConversion"/>
  </si>
  <si>
    <t>2026-2-27 통합심의</t>
    <phoneticPr fontId="3" type="noConversion"/>
  </si>
  <si>
    <t>pdf 10</t>
    <phoneticPr fontId="3" type="noConversion"/>
  </si>
  <si>
    <t>공공분양</t>
    <phoneticPr fontId="3" type="noConversion"/>
  </si>
  <si>
    <t>pdf 2(기정연면적)</t>
    <phoneticPr fontId="3" type="noConversion"/>
  </si>
  <si>
    <t>공공임대</t>
    <phoneticPr fontId="3" type="noConversion"/>
  </si>
  <si>
    <t>60~85이하</t>
    <phoneticPr fontId="3" type="noConversion"/>
  </si>
  <si>
    <t>85초과 조분가 역산</t>
    <phoneticPr fontId="3" type="noConversion"/>
  </si>
  <si>
    <t>변경</t>
    <phoneticPr fontId="3" type="noConversion"/>
  </si>
  <si>
    <t>pdf 2(기정연면적/기정분양가)</t>
    <phoneticPr fontId="3" type="noConversion"/>
  </si>
  <si>
    <t>기정</t>
    <phoneticPr fontId="3" type="noConversion"/>
  </si>
  <si>
    <t>85초과 제외</t>
    <phoneticPr fontId="3" type="noConversion"/>
  </si>
  <si>
    <t>85초과 조분가</t>
    <phoneticPr fontId="3" type="noConversion"/>
  </si>
  <si>
    <t>건축개요참고용</t>
    <phoneticPr fontId="3" type="noConversion"/>
  </si>
  <si>
    <t>실제는 분양면적 누계임</t>
    <phoneticPr fontId="3" type="noConversion"/>
  </si>
  <si>
    <t>pdf 16</t>
    <phoneticPr fontId="3" type="noConversion"/>
  </si>
  <si>
    <t>31평형</t>
    <phoneticPr fontId="3" type="noConversion"/>
  </si>
  <si>
    <t>pdf 2</t>
    <phoneticPr fontId="3" type="noConversion"/>
  </si>
  <si>
    <t>34평형</t>
    <phoneticPr fontId="3" type="noConversion"/>
  </si>
  <si>
    <t>상가제외</t>
    <phoneticPr fontId="3" type="noConversion"/>
  </si>
  <si>
    <t>상가종전(역산)</t>
    <phoneticPr fontId="3" type="noConversion"/>
  </si>
  <si>
    <t>전체</t>
    <phoneticPr fontId="3" type="noConversion"/>
  </si>
  <si>
    <t>부동산뱅크</t>
    <phoneticPr fontId="3" type="noConversion"/>
  </si>
  <si>
    <t>대치푸르지오써밋</t>
    <phoneticPr fontId="3" type="noConversion"/>
  </si>
  <si>
    <t>부동산뱅크(상한)</t>
    <phoneticPr fontId="3" type="noConversion"/>
  </si>
  <si>
    <t>은마page</t>
    <phoneticPr fontId="3" type="noConversion"/>
  </si>
  <si>
    <t>대치 은마</t>
    <phoneticPr fontId="3" type="noConversion"/>
  </si>
  <si>
    <t>서울특별시 강남구 대치동 316</t>
    <phoneticPr fontId="3" type="noConversion"/>
  </si>
  <si>
    <t>서울특별시고시 제2025-655호</t>
    <phoneticPr fontId="3" type="noConversion"/>
  </si>
  <si>
    <t>26.2.27 통합심의</t>
    <phoneticPr fontId="3" type="noConversion"/>
  </si>
  <si>
    <t>33평형</t>
    <phoneticPr fontId="3" type="noConversion"/>
  </si>
  <si>
    <t>서울시 강남구 대치동 1032</t>
    <phoneticPr fontId="3" type="noConversion"/>
  </si>
  <si>
    <t>유사단지 전용84KB시세(상한)</t>
    <phoneticPr fontId="3" type="noConversion"/>
  </si>
  <si>
    <t>유사단지 전용84 부동산뱅크시세(상한)</t>
    <phoneticPr fontId="3" type="noConversion"/>
  </si>
  <si>
    <t>전용84 일반분양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</si>
</sst>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0.0%"/>
    <numFmt numFmtId="178" formatCode="_-* #,##0.000_-;\-* #,##0.000_-;_-* &quot;-&quot;??_-;_-@_-"/>
    <numFmt numFmtId="179" formatCode="_-* #,##0.00000_-;\-* #,##0.00000_-;_-* &quot;-&quot;??_-;_-@_-"/>
    <numFmt numFmtId="180" formatCode="_-* #,##0.00_-;\-* #,##0.00_-;_-* &quot;-&quot;_-;_-@_-"/>
    <numFmt numFmtId="181" formatCode="_(* #,##0_);_(* \(#,##0\);_(* &quot;-&quot;_);_(@_)"/>
    <numFmt numFmtId="182" formatCode="_(* #,##0.00_);_(* \(#,##0.00\);_(* &quot;-&quot;??_);_(@_)"/>
    <numFmt numFmtId="183" formatCode="_(* #,##0.0000_);_(* \(#,##0.0000\);_(* &quot;-&quot;????_);_(@_)"/>
    <numFmt numFmtId="184" formatCode="0.0%;\(0.0%\);\-"/>
    <numFmt numFmtId="185" formatCode="_-* #,##0.000_-;\-* #,##0.00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1F1F1F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맑은 고딕"/>
      <family val="3"/>
      <charset val="129"/>
      <scheme val="minor"/>
    </font>
    <font>
      <b/>
      <sz val="11"/>
      <color rgb="FF1F1F1F"/>
      <name val="Arial"/>
      <family val="2"/>
    </font>
    <font>
      <b/>
      <sz val="11"/>
      <color rgb="FF1F1F1F"/>
      <name val="맑은 고딕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sz val="11"/>
      <name val="맑은 고딕"/>
      <family val="3"/>
      <charset val="129"/>
      <scheme val="minor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0" fontId="0" fillId="3" borderId="0" xfId="0" applyFill="1">
      <alignment vertical="center"/>
    </xf>
    <xf numFmtId="176" fontId="4" fillId="0" borderId="0" xfId="1" applyNumberFormat="1" applyFont="1" applyFill="1">
      <alignment vertical="center"/>
    </xf>
    <xf numFmtId="176" fontId="2" fillId="0" borderId="0" xfId="1" applyNumberFormat="1" applyFont="1" applyFill="1">
      <alignment vertical="center"/>
    </xf>
    <xf numFmtId="0" fontId="2" fillId="4" borderId="0" xfId="0" applyFont="1" applyFill="1">
      <alignment vertical="center"/>
    </xf>
    <xf numFmtId="41" fontId="2" fillId="0" borderId="0" xfId="1" applyFont="1">
      <alignment vertical="center"/>
    </xf>
    <xf numFmtId="9" fontId="2" fillId="0" borderId="0" xfId="0" applyNumberFormat="1" applyFont="1">
      <alignment vertical="center"/>
    </xf>
    <xf numFmtId="43" fontId="0" fillId="0" borderId="0" xfId="0" applyNumberFormat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0" fontId="0" fillId="4" borderId="0" xfId="0" applyFill="1">
      <alignment vertical="center"/>
    </xf>
    <xf numFmtId="0" fontId="0" fillId="6" borderId="0" xfId="0" applyFill="1">
      <alignment vertical="center"/>
    </xf>
    <xf numFmtId="41" fontId="2" fillId="6" borderId="0" xfId="1" applyFont="1" applyFill="1">
      <alignment vertical="center"/>
    </xf>
    <xf numFmtId="10" fontId="0" fillId="6" borderId="0" xfId="2" applyNumberFormat="1" applyFont="1" applyFill="1">
      <alignment vertical="center"/>
    </xf>
    <xf numFmtId="178" fontId="0" fillId="0" borderId="0" xfId="0" applyNumberFormat="1">
      <alignment vertical="center"/>
    </xf>
    <xf numFmtId="41" fontId="0" fillId="4" borderId="0" xfId="1" applyFont="1" applyFill="1">
      <alignment vertical="center"/>
    </xf>
    <xf numFmtId="41" fontId="0" fillId="0" borderId="0" xfId="1" applyFont="1" applyFill="1">
      <alignment vertical="center"/>
    </xf>
    <xf numFmtId="0" fontId="0" fillId="7" borderId="0" xfId="0" applyFill="1">
      <alignment vertical="center"/>
    </xf>
    <xf numFmtId="0" fontId="4" fillId="0" borderId="0" xfId="0" applyFont="1">
      <alignment vertical="center"/>
    </xf>
    <xf numFmtId="41" fontId="2" fillId="0" borderId="0" xfId="0" applyNumberFormat="1" applyFont="1">
      <alignment vertical="center"/>
    </xf>
    <xf numFmtId="41" fontId="2" fillId="4" borderId="0" xfId="0" applyNumberFormat="1" applyFont="1" applyFill="1">
      <alignment vertical="center"/>
    </xf>
    <xf numFmtId="179" fontId="0" fillId="0" borderId="0" xfId="0" applyNumberFormat="1">
      <alignment vertical="center"/>
    </xf>
    <xf numFmtId="43" fontId="4" fillId="0" borderId="0" xfId="0" applyNumberFormat="1" applyFont="1">
      <alignment vertical="center"/>
    </xf>
    <xf numFmtId="176" fontId="2" fillId="4" borderId="0" xfId="1" applyNumberFormat="1" applyFont="1" applyFill="1">
      <alignment vertical="center"/>
    </xf>
    <xf numFmtId="176" fontId="4" fillId="0" borderId="0" xfId="0" applyNumberFormat="1" applyFont="1">
      <alignment vertical="center"/>
    </xf>
    <xf numFmtId="176" fontId="2" fillId="0" borderId="0" xfId="1" applyNumberFormat="1" applyFon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4" borderId="0" xfId="0" applyNumberFormat="1" applyFill="1">
      <alignment vertical="center"/>
    </xf>
    <xf numFmtId="43" fontId="0" fillId="4" borderId="0" xfId="0" applyNumberFormat="1" applyFill="1">
      <alignment vertical="center"/>
    </xf>
    <xf numFmtId="0" fontId="6" fillId="0" borderId="0" xfId="0" applyFont="1" applyAlignment="1">
      <alignment vertical="center" wrapText="1" readingOrder="1"/>
    </xf>
    <xf numFmtId="41" fontId="2" fillId="4" borderId="0" xfId="1" applyFont="1" applyFill="1">
      <alignment vertical="center"/>
    </xf>
    <xf numFmtId="9" fontId="0" fillId="4" borderId="0" xfId="2" applyFont="1" applyFill="1">
      <alignment vertical="center"/>
    </xf>
    <xf numFmtId="41" fontId="2" fillId="0" borderId="0" xfId="1" applyFont="1" applyFill="1">
      <alignment vertical="center"/>
    </xf>
    <xf numFmtId="180" fontId="2" fillId="0" borderId="0" xfId="1" applyNumberFormat="1" applyFont="1">
      <alignment vertical="center"/>
    </xf>
    <xf numFmtId="180" fontId="0" fillId="0" borderId="0" xfId="1" applyNumberFormat="1" applyFont="1">
      <alignment vertical="center"/>
    </xf>
    <xf numFmtId="177" fontId="2" fillId="4" borderId="0" xfId="2" applyNumberFormat="1" applyFont="1" applyFill="1">
      <alignment vertical="center"/>
    </xf>
    <xf numFmtId="180" fontId="7" fillId="4" borderId="0" xfId="1" applyNumberFormat="1" applyFont="1" applyFill="1" applyBorder="1" applyAlignment="1">
      <alignment vertical="center" wrapText="1" readingOrder="1"/>
    </xf>
    <xf numFmtId="180" fontId="4" fillId="0" borderId="0" xfId="1" applyNumberFormat="1" applyFont="1" applyFill="1">
      <alignment vertical="center"/>
    </xf>
    <xf numFmtId="176" fontId="4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0" fontId="8" fillId="0" borderId="0" xfId="0" applyFont="1">
      <alignment vertical="center"/>
    </xf>
    <xf numFmtId="180" fontId="0" fillId="0" borderId="0" xfId="0" applyNumberFormat="1">
      <alignment vertical="center"/>
    </xf>
    <xf numFmtId="0" fontId="9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3" fontId="7" fillId="0" borderId="0" xfId="0" applyNumberFormat="1" applyFont="1" applyAlignment="1">
      <alignment vertical="center" wrapText="1" readingOrder="1"/>
    </xf>
    <xf numFmtId="3" fontId="6" fillId="0" borderId="0" xfId="0" applyNumberFormat="1" applyFont="1" applyAlignment="1">
      <alignment vertical="center" wrapText="1" readingOrder="1"/>
    </xf>
    <xf numFmtId="4" fontId="7" fillId="0" borderId="0" xfId="0" applyNumberFormat="1" applyFont="1" applyAlignment="1">
      <alignment vertical="center" wrapText="1" readingOrder="1"/>
    </xf>
    <xf numFmtId="180" fontId="7" fillId="0" borderId="0" xfId="1" applyNumberFormat="1" applyFont="1" applyAlignment="1">
      <alignment vertical="center" wrapText="1" readingOrder="1"/>
    </xf>
    <xf numFmtId="4" fontId="6" fillId="0" borderId="0" xfId="0" applyNumberFormat="1" applyFont="1" applyAlignment="1">
      <alignment vertical="center" wrapText="1" readingOrder="1"/>
    </xf>
    <xf numFmtId="3" fontId="7" fillId="4" borderId="0" xfId="0" applyNumberFormat="1" applyFont="1" applyFill="1" applyAlignment="1">
      <alignment vertical="center" wrapText="1" readingOrder="1"/>
    </xf>
    <xf numFmtId="176" fontId="2" fillId="4" borderId="0" xfId="0" applyNumberFormat="1" applyFont="1" applyFill="1">
      <alignment vertical="center"/>
    </xf>
    <xf numFmtId="176" fontId="4" fillId="4" borderId="0" xfId="0" applyNumberFormat="1" applyFont="1" applyFill="1">
      <alignment vertical="center"/>
    </xf>
    <xf numFmtId="3" fontId="0" fillId="0" borderId="0" xfId="0" applyNumberFormat="1">
      <alignment vertical="center"/>
    </xf>
    <xf numFmtId="43" fontId="2" fillId="4" borderId="0" xfId="0" applyNumberFormat="1" applyFont="1" applyFill="1">
      <alignment vertical="center"/>
    </xf>
    <xf numFmtId="0" fontId="6" fillId="4" borderId="0" xfId="0" applyFont="1" applyFill="1" applyAlignment="1">
      <alignment vertical="center" wrapText="1" readingOrder="1"/>
    </xf>
    <xf numFmtId="0" fontId="11" fillId="0" borderId="0" xfId="0" applyFont="1">
      <alignment vertical="center"/>
    </xf>
    <xf numFmtId="41" fontId="2" fillId="8" borderId="0" xfId="1" applyFont="1" applyFill="1">
      <alignment vertical="center"/>
    </xf>
    <xf numFmtId="41" fontId="7" fillId="8" borderId="0" xfId="1" applyFont="1" applyFill="1" applyBorder="1" applyAlignment="1">
      <alignment vertical="center" wrapText="1" readingOrder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176" fontId="2" fillId="0" borderId="0" xfId="0" applyNumberFormat="1" applyFont="1">
      <alignment vertical="center"/>
    </xf>
    <xf numFmtId="0" fontId="2" fillId="0" borderId="0" xfId="1" applyNumberFormat="1" applyFont="1" applyFill="1">
      <alignment vertical="center"/>
    </xf>
    <xf numFmtId="0" fontId="2" fillId="8" borderId="0" xfId="0" applyFont="1" applyFill="1">
      <alignment vertical="center"/>
    </xf>
    <xf numFmtId="0" fontId="10" fillId="0" borderId="0" xfId="0" applyFont="1" applyAlignment="1">
      <alignment vertical="center" wrapText="1" readingOrder="1"/>
    </xf>
    <xf numFmtId="0" fontId="2" fillId="2" borderId="0" xfId="0" applyFont="1" applyFill="1" applyAlignment="1">
      <alignment vertical="center" wrapText="1"/>
    </xf>
    <xf numFmtId="10" fontId="11" fillId="0" borderId="0" xfId="2" applyNumberFormat="1" applyFont="1">
      <alignment vertical="center"/>
    </xf>
    <xf numFmtId="0" fontId="5" fillId="5" borderId="0" xfId="0" applyFont="1" applyFill="1">
      <alignment vertical="center"/>
    </xf>
    <xf numFmtId="0" fontId="12" fillId="9" borderId="0" xfId="0" applyFont="1" applyFill="1">
      <alignment vertical="center"/>
    </xf>
    <xf numFmtId="0" fontId="11" fillId="9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12" fillId="0" borderId="0" xfId="0" applyFont="1">
      <alignment vertical="center"/>
    </xf>
    <xf numFmtId="14" fontId="2" fillId="0" borderId="0" xfId="0" applyNumberFormat="1" applyFont="1">
      <alignment vertical="center"/>
    </xf>
    <xf numFmtId="0" fontId="12" fillId="5" borderId="0" xfId="0" applyFont="1" applyFill="1" applyAlignment="1">
      <alignment vertical="center" wrapText="1"/>
    </xf>
    <xf numFmtId="181" fontId="12" fillId="9" borderId="0" xfId="0" applyNumberFormat="1" applyFont="1" applyFill="1">
      <alignment vertical="center"/>
    </xf>
    <xf numFmtId="181" fontId="0" fillId="0" borderId="0" xfId="0" applyNumberFormat="1">
      <alignment vertical="center"/>
    </xf>
    <xf numFmtId="0" fontId="2" fillId="10" borderId="0" xfId="0" applyFont="1" applyFill="1">
      <alignment vertical="center"/>
    </xf>
    <xf numFmtId="182" fontId="0" fillId="0" borderId="0" xfId="0" applyNumberFormat="1">
      <alignment vertical="center"/>
    </xf>
    <xf numFmtId="183" fontId="0" fillId="4" borderId="0" xfId="0" applyNumberFormat="1" applyFill="1">
      <alignment vertical="center"/>
    </xf>
    <xf numFmtId="184" fontId="12" fillId="9" borderId="0" xfId="0" applyNumberFormat="1" applyFont="1" applyFill="1">
      <alignment vertical="center"/>
    </xf>
    <xf numFmtId="184" fontId="0" fillId="0" borderId="0" xfId="0" applyNumberFormat="1">
      <alignment vertical="center"/>
    </xf>
    <xf numFmtId="0" fontId="13" fillId="5" borderId="0" xfId="0" applyFont="1" applyFill="1" applyAlignment="1">
      <alignment vertical="center" wrapText="1"/>
    </xf>
    <xf numFmtId="184" fontId="13" fillId="0" borderId="0" xfId="0" applyNumberFormat="1" applyFont="1">
      <alignment vertical="center"/>
    </xf>
    <xf numFmtId="0" fontId="5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9" fontId="0" fillId="0" borderId="0" xfId="0" applyNumberFormat="1">
      <alignment vertical="center"/>
    </xf>
    <xf numFmtId="177" fontId="0" fillId="0" borderId="0" xfId="2" applyNumberFormat="1" applyFont="1">
      <alignment vertical="center"/>
    </xf>
    <xf numFmtId="177" fontId="0" fillId="0" borderId="0" xfId="0" applyNumberFormat="1">
      <alignment vertical="center"/>
    </xf>
    <xf numFmtId="185" fontId="2" fillId="0" borderId="0" xfId="1" applyNumberFormat="1" applyFont="1">
      <alignment vertical="center"/>
    </xf>
    <xf numFmtId="0" fontId="14" fillId="11" borderId="0" xfId="0" applyFont="1" applyFill="1">
      <alignment vertical="center"/>
    </xf>
    <xf numFmtId="0" fontId="15" fillId="4" borderId="0" xfId="0" applyFont="1" applyFill="1">
      <alignment vertical="center"/>
    </xf>
    <xf numFmtId="0" fontId="11" fillId="4" borderId="0" xfId="0" applyFont="1" applyFill="1">
      <alignment vertical="center"/>
    </xf>
    <xf numFmtId="185" fontId="0" fillId="0" borderId="0" xfId="1" applyNumberFormat="1" applyFont="1">
      <alignment vertical="center"/>
    </xf>
    <xf numFmtId="0" fontId="14" fillId="0" borderId="0" xfId="0" applyFont="1">
      <alignment vertical="center"/>
    </xf>
    <xf numFmtId="185" fontId="0" fillId="4" borderId="0" xfId="1" applyNumberFormat="1" applyFont="1" applyFill="1">
      <alignment vertical="center"/>
    </xf>
    <xf numFmtId="0" fontId="4" fillId="4" borderId="0" xfId="0" applyFont="1" applyFill="1">
      <alignment vertical="center"/>
    </xf>
    <xf numFmtId="41" fontId="16" fillId="8" borderId="0" xfId="1" applyFont="1" applyFill="1" applyBorder="1" applyAlignment="1">
      <alignment vertical="center" wrapText="1" readingOrder="1"/>
    </xf>
    <xf numFmtId="10" fontId="0" fillId="0" borderId="0" xfId="0" applyNumberFormat="1">
      <alignment vertical="center"/>
    </xf>
    <xf numFmtId="0" fontId="0" fillId="8" borderId="0" xfId="0" applyFill="1">
      <alignment vertical="center"/>
    </xf>
    <xf numFmtId="43" fontId="2" fillId="0" borderId="0" xfId="0" applyNumberFormat="1" applyFont="1">
      <alignment vertical="center"/>
    </xf>
    <xf numFmtId="0" fontId="0" fillId="4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12" borderId="0" xfId="0" applyFill="1">
      <alignment vertical="center"/>
    </xf>
    <xf numFmtId="0" fontId="0" fillId="12" borderId="0" xfId="0" applyFill="1" applyAlignment="1">
      <alignment vertical="center" wrapText="1"/>
    </xf>
    <xf numFmtId="0" fontId="0" fillId="13" borderId="0" xfId="0" applyFill="1">
      <alignment vertical="center"/>
    </xf>
    <xf numFmtId="0" fontId="0" fillId="10" borderId="0" xfId="0" applyFill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41" fontId="4" fillId="0" borderId="0" xfId="1" applyFont="1" applyFill="1">
      <alignment vertical="center"/>
    </xf>
    <xf numFmtId="41" fontId="17" fillId="0" borderId="0" xfId="1" applyFont="1" applyFill="1">
      <alignment vertical="center"/>
    </xf>
    <xf numFmtId="9" fontId="4" fillId="0" borderId="0" xfId="0" applyNumberFormat="1" applyFont="1">
      <alignment vertical="center"/>
    </xf>
    <xf numFmtId="180" fontId="4" fillId="0" borderId="0" xfId="1" applyNumberFormat="1" applyFont="1">
      <alignment vertical="center"/>
    </xf>
    <xf numFmtId="41" fontId="11" fillId="0" borderId="0" xfId="1" applyFont="1">
      <alignment vertical="center"/>
    </xf>
    <xf numFmtId="0" fontId="17" fillId="0" borderId="0" xfId="0" applyFont="1">
      <alignment vertical="center"/>
    </xf>
    <xf numFmtId="41" fontId="17" fillId="0" borderId="0" xfId="1" applyFont="1">
      <alignment vertical="center"/>
    </xf>
    <xf numFmtId="0" fontId="4" fillId="12" borderId="0" xfId="0" applyFont="1" applyFill="1">
      <alignment vertical="center"/>
    </xf>
    <xf numFmtId="180" fontId="17" fillId="0" borderId="0" xfId="1" applyNumberFormat="1" applyFont="1" applyFill="1">
      <alignment vertical="center"/>
    </xf>
    <xf numFmtId="3" fontId="18" fillId="0" borderId="0" xfId="0" applyNumberFormat="1" applyFont="1" applyAlignment="1">
      <alignment vertical="center" wrapText="1" readingOrder="1"/>
    </xf>
    <xf numFmtId="0" fontId="0" fillId="14" borderId="0" xfId="0" applyFill="1">
      <alignment vertical="center"/>
    </xf>
    <xf numFmtId="41" fontId="11" fillId="14" borderId="0" xfId="1" applyFont="1" applyFill="1">
      <alignment vertical="center"/>
    </xf>
    <xf numFmtId="41" fontId="4" fillId="11" borderId="0" xfId="1" applyFont="1" applyFill="1">
      <alignment vertical="center"/>
    </xf>
    <xf numFmtId="41" fontId="4" fillId="0" borderId="0" xfId="0" applyNumberFormat="1" applyFont="1">
      <alignment vertical="center"/>
    </xf>
    <xf numFmtId="41" fontId="14" fillId="0" borderId="0" xfId="0" applyNumberFormat="1" applyFont="1">
      <alignment vertical="center"/>
    </xf>
    <xf numFmtId="41" fontId="0" fillId="6" borderId="0" xfId="1" applyFont="1" applyFill="1">
      <alignment vertical="center"/>
    </xf>
    <xf numFmtId="0" fontId="2" fillId="6" borderId="0" xfId="0" applyFont="1" applyFill="1">
      <alignment vertical="center"/>
    </xf>
    <xf numFmtId="41" fontId="4" fillId="0" borderId="0" xfId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16</xdr:row>
      <xdr:rowOff>0</xdr:rowOff>
    </xdr:from>
    <xdr:to>
      <xdr:col>23</xdr:col>
      <xdr:colOff>519304</xdr:colOff>
      <xdr:row>32</xdr:row>
      <xdr:rowOff>151962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6E3173-CBA1-4619-8C77-0444053F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3943" y="3570514"/>
          <a:ext cx="7644910" cy="372247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22</xdr:col>
      <xdr:colOff>131182</xdr:colOff>
      <xdr:row>44</xdr:row>
      <xdr:rowOff>17425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391A60-D3C4-4616-B478-2A94122A1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63943" y="7587343"/>
          <a:ext cx="6553753" cy="224083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</xdr:row>
      <xdr:rowOff>0</xdr:rowOff>
    </xdr:from>
    <xdr:to>
      <xdr:col>35</xdr:col>
      <xdr:colOff>571914</xdr:colOff>
      <xdr:row>24</xdr:row>
      <xdr:rowOff>20199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7D6C61C-6A5B-4160-B758-D7B6F7EFE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76571" y="3570514"/>
          <a:ext cx="7653072" cy="181361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34</xdr:col>
      <xdr:colOff>242301</xdr:colOff>
      <xdr:row>54</xdr:row>
      <xdr:rowOff>17202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AD39755-058B-48EE-BF31-BFA1F11F7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376571" y="7810500"/>
          <a:ext cx="6620424" cy="4257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43543</xdr:colOff>
      <xdr:row>3</xdr:row>
      <xdr:rowOff>0</xdr:rowOff>
    </xdr:from>
    <xdr:to>
      <xdr:col>29</xdr:col>
      <xdr:colOff>631821</xdr:colOff>
      <xdr:row>19</xdr:row>
      <xdr:rowOff>83006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E05644-3941-4752-B4F1-C5BBA0FA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2700" y="666750"/>
          <a:ext cx="8431435" cy="365352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85</xdr:row>
      <xdr:rowOff>0</xdr:rowOff>
    </xdr:from>
    <xdr:to>
      <xdr:col>29</xdr:col>
      <xdr:colOff>430319</xdr:colOff>
      <xdr:row>118</xdr:row>
      <xdr:rowOff>119670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7B926D-ADA6-4C76-84D7-D30E7FC32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0" y="18891250"/>
          <a:ext cx="11882090" cy="7619927"/>
        </a:xfrm>
        <a:prstGeom prst="rect">
          <a:avLst/>
        </a:prstGeom>
      </xdr:spPr>
    </xdr:pic>
    <xdr:clientData/>
  </xdr:twoCellAnchor>
  <xdr:twoCellAnchor editAs="oneCell">
    <xdr:from>
      <xdr:col>14</xdr:col>
      <xdr:colOff>38877</xdr:colOff>
      <xdr:row>23</xdr:row>
      <xdr:rowOff>0</xdr:rowOff>
    </xdr:from>
    <xdr:to>
      <xdr:col>33</xdr:col>
      <xdr:colOff>437655</xdr:colOff>
      <xdr:row>65</xdr:row>
      <xdr:rowOff>36919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C930C7-975B-46E2-A095-15BAD0A29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83127" y="5111750"/>
          <a:ext cx="13815421" cy="9409519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50</xdr:col>
      <xdr:colOff>213037</xdr:colOff>
      <xdr:row>71</xdr:row>
      <xdr:rowOff>111408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EAB8756-4500-4311-9467-EE679F96B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93550" y="7334250"/>
          <a:ext cx="12056694" cy="8591379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41</xdr:col>
      <xdr:colOff>292878</xdr:colOff>
      <xdr:row>18</xdr:row>
      <xdr:rowOff>155239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8C1CBC1-689F-4721-894D-6F803105B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101050" y="666750"/>
          <a:ext cx="9349793" cy="3502597"/>
        </a:xfrm>
        <a:prstGeom prst="rect">
          <a:avLst/>
        </a:prstGeom>
      </xdr:spPr>
    </xdr:pic>
    <xdr:clientData/>
  </xdr:twoCellAnchor>
  <xdr:twoCellAnchor editAs="oneCell">
    <xdr:from>
      <xdr:col>16</xdr:col>
      <xdr:colOff>522514</xdr:colOff>
      <xdr:row>8</xdr:row>
      <xdr:rowOff>0</xdr:rowOff>
    </xdr:from>
    <xdr:to>
      <xdr:col>34</xdr:col>
      <xdr:colOff>465599</xdr:colOff>
      <xdr:row>31</xdr:row>
      <xdr:rowOff>219764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3B1E7E8-8FB7-4952-B76D-90DB5525A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61950" y="1778000"/>
          <a:ext cx="12663042" cy="53523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(26_0510)_&#44592;&#51316;&#51088;&#47308;_DB&#54868;/1_sample_&#50517;&#44396;&#51221;3_ROI&#47021;&#53433;&#52628;&#44032;_(0415)_DB&#54868;_(0510).xlsx" TargetMode="External"/><Relationship Id="rId2" Type="http://schemas.openxmlformats.org/officeDocument/2006/relationships/externalLinkPath" Target="file:///C:\Users\ljaem\Downloads\2026_1230_&#51116;&#44148;&#52629;&#47021;&#52964;\(26_0510)_&#44592;&#51316;&#51088;&#47308;_DB&#54868;\1_sample_&#50517;&#44396;&#51221;3_ROI&#47021;&#53433;&#52628;&#44032;_(0415)_DB&#54868;_(0510).xlsx" TargetMode="External"/><Relationship Id="rId1" Type="http://schemas.openxmlformats.org/officeDocument/2006/relationships/externalLinkPath" Target="/Users/ljaem/Downloads/2026_1230_&#51116;&#44148;&#52629;&#47021;&#52964;/(26_0510)_&#44592;&#51316;&#51088;&#47308;_DB&#54868;/1_sample_&#50517;&#44396;&#51221;3_ROI&#47021;&#53433;&#52628;&#44032;_(0415)_DB&#54868;_(05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/>
      <sheetData sheetId="1">
        <row r="5">
          <cell r="F5">
            <v>131.47999999999999</v>
          </cell>
          <cell r="G5">
            <v>17.57</v>
          </cell>
          <cell r="H5">
            <v>216</v>
          </cell>
          <cell r="I5">
            <v>5063000000</v>
          </cell>
          <cell r="J5">
            <v>3106150500</v>
          </cell>
          <cell r="K5">
            <v>38507757.833891086</v>
          </cell>
          <cell r="L5" t="e">
            <v>#DIV/0!</v>
          </cell>
          <cell r="M5"/>
          <cell r="N5">
            <v>3795.12</v>
          </cell>
          <cell r="O5">
            <v>12545.851239669422</v>
          </cell>
          <cell r="P5"/>
          <cell r="Q5"/>
          <cell r="R5"/>
          <cell r="S5">
            <v>141.74</v>
          </cell>
          <cell r="T5">
            <v>6367</v>
          </cell>
          <cell r="U5">
            <v>7000</v>
          </cell>
          <cell r="V5">
            <v>6683.5</v>
          </cell>
        </row>
        <row r="6">
          <cell r="F6">
            <v>161.19</v>
          </cell>
          <cell r="G6">
            <v>21.97</v>
          </cell>
          <cell r="H6">
            <v>180</v>
          </cell>
          <cell r="I6">
            <v>7088000000</v>
          </cell>
          <cell r="J6">
            <v>4348488000</v>
          </cell>
          <cell r="K6">
            <v>43972951.17563124</v>
          </cell>
          <cell r="L6" t="e">
            <v>#DIV/0!</v>
          </cell>
          <cell r="M6"/>
          <cell r="N6">
            <v>3954.6</v>
          </cell>
          <cell r="O6">
            <v>13073.05785123967</v>
          </cell>
          <cell r="S6">
            <v>176</v>
          </cell>
          <cell r="T6">
            <v>8000</v>
          </cell>
          <cell r="U6">
            <v>9233</v>
          </cell>
          <cell r="V6">
            <v>8616.5</v>
          </cell>
        </row>
        <row r="7">
          <cell r="F7">
            <v>172.94</v>
          </cell>
          <cell r="G7">
            <v>21.97</v>
          </cell>
          <cell r="H7">
            <v>264</v>
          </cell>
          <cell r="I7">
            <v>6928000000</v>
          </cell>
          <cell r="J7">
            <v>4250328000</v>
          </cell>
          <cell r="K7">
            <v>40060136.463513359</v>
          </cell>
          <cell r="L7" t="e">
            <v>#DIV/0!</v>
          </cell>
          <cell r="M7"/>
          <cell r="N7">
            <v>5800.08</v>
          </cell>
          <cell r="O7">
            <v>19173.818181818184</v>
          </cell>
          <cell r="T7"/>
          <cell r="U7"/>
          <cell r="V7">
            <v>9670.1318755704306</v>
          </cell>
        </row>
        <row r="8">
          <cell r="F8">
            <v>196.21</v>
          </cell>
          <cell r="G8">
            <v>26.28</v>
          </cell>
          <cell r="H8">
            <v>300</v>
          </cell>
          <cell r="I8">
            <v>8328000000</v>
          </cell>
          <cell r="J8">
            <v>5109228000</v>
          </cell>
          <cell r="K8">
            <v>42444319.861373015</v>
          </cell>
          <cell r="L8" t="e">
            <v>#DIV/0!</v>
          </cell>
          <cell r="M8"/>
          <cell r="N8">
            <v>7884</v>
          </cell>
          <cell r="O8">
            <v>26062.809917355371</v>
          </cell>
          <cell r="S8">
            <v>211.23</v>
          </cell>
          <cell r="T8">
            <v>11500</v>
          </cell>
          <cell r="U8">
            <v>12683</v>
          </cell>
          <cell r="V8">
            <v>12091.5</v>
          </cell>
        </row>
        <row r="9">
          <cell r="N9"/>
          <cell r="O9"/>
          <cell r="T9"/>
          <cell r="U9"/>
          <cell r="V9"/>
        </row>
        <row r="10">
          <cell r="N10"/>
          <cell r="O10"/>
          <cell r="T10"/>
          <cell r="U10"/>
          <cell r="V10"/>
        </row>
        <row r="11">
          <cell r="N11"/>
          <cell r="O11"/>
          <cell r="T11"/>
          <cell r="U11"/>
          <cell r="V11"/>
        </row>
        <row r="12">
          <cell r="F12">
            <v>108.15</v>
          </cell>
          <cell r="G12">
            <v>17.66</v>
          </cell>
          <cell r="H12">
            <v>96</v>
          </cell>
          <cell r="I12">
            <v>4337000000</v>
          </cell>
          <cell r="J12">
            <v>2660749500</v>
          </cell>
          <cell r="K12">
            <v>40101710.587147482</v>
          </cell>
          <cell r="L12" t="e">
            <v>#DIV/0!</v>
          </cell>
          <cell r="M12"/>
          <cell r="N12">
            <v>1695.3600000000001</v>
          </cell>
          <cell r="O12">
            <v>5604.4958677685954</v>
          </cell>
          <cell r="P12"/>
          <cell r="Q12"/>
          <cell r="R12"/>
          <cell r="S12">
            <v>115.41</v>
          </cell>
          <cell r="T12">
            <v>5950</v>
          </cell>
          <cell r="U12">
            <v>6400</v>
          </cell>
          <cell r="V12">
            <v>6175</v>
          </cell>
        </row>
        <row r="13">
          <cell r="F13">
            <v>151.93</v>
          </cell>
          <cell r="G13">
            <v>25.11</v>
          </cell>
          <cell r="H13">
            <v>48</v>
          </cell>
          <cell r="I13">
            <v>6145000000</v>
          </cell>
          <cell r="J13">
            <v>3769957500</v>
          </cell>
          <cell r="K13">
            <v>40446258.145198442</v>
          </cell>
          <cell r="L13" t="e">
            <v>#DIV/0!</v>
          </cell>
          <cell r="M13"/>
          <cell r="N13">
            <v>1205.28</v>
          </cell>
          <cell r="O13">
            <v>3984.3966942148759</v>
          </cell>
          <cell r="P13"/>
          <cell r="Q13"/>
          <cell r="R13"/>
          <cell r="S13">
            <v>164</v>
          </cell>
          <cell r="T13">
            <v>7350</v>
          </cell>
          <cell r="U13">
            <v>8000</v>
          </cell>
          <cell r="V13">
            <v>7675</v>
          </cell>
        </row>
        <row r="14"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</row>
        <row r="15">
          <cell r="F15">
            <v>82.5</v>
          </cell>
          <cell r="G15">
            <v>12.77</v>
          </cell>
          <cell r="H15">
            <v>432</v>
          </cell>
          <cell r="I15">
            <v>4091000000</v>
          </cell>
          <cell r="J15">
            <v>2509828500</v>
          </cell>
          <cell r="K15">
            <v>49587878.787878789</v>
          </cell>
          <cell r="L15" t="e">
            <v>#DIV/0!</v>
          </cell>
          <cell r="M15"/>
          <cell r="N15">
            <v>5516.6399999999994</v>
          </cell>
          <cell r="O15">
            <v>18236.826446280989</v>
          </cell>
          <cell r="P15"/>
          <cell r="Q15"/>
          <cell r="R15"/>
          <cell r="S15"/>
          <cell r="T15">
            <v>5500</v>
          </cell>
          <cell r="U15">
            <v>5825</v>
          </cell>
          <cell r="V15">
            <v>5662.5</v>
          </cell>
        </row>
        <row r="16"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</row>
        <row r="17"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</row>
        <row r="18"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</row>
        <row r="19">
          <cell r="F19">
            <v>84.98</v>
          </cell>
          <cell r="G19">
            <v>17.54</v>
          </cell>
          <cell r="H19">
            <v>388</v>
          </cell>
          <cell r="I19">
            <v>4348000000</v>
          </cell>
          <cell r="J19">
            <v>2667498000</v>
          </cell>
          <cell r="K19">
            <v>51164979.995293006</v>
          </cell>
          <cell r="L19" t="e">
            <v>#DIV/0!</v>
          </cell>
          <cell r="M19"/>
          <cell r="N19">
            <v>6805.5199999999995</v>
          </cell>
          <cell r="O19">
            <v>22497.586776859502</v>
          </cell>
          <cell r="P19"/>
          <cell r="Q19"/>
          <cell r="R19"/>
          <cell r="S19">
            <v>96.49</v>
          </cell>
          <cell r="T19">
            <v>6050</v>
          </cell>
          <cell r="U19">
            <v>6450</v>
          </cell>
          <cell r="V19">
            <v>6250</v>
          </cell>
        </row>
        <row r="20"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</row>
        <row r="21">
          <cell r="F21">
            <v>105.45</v>
          </cell>
          <cell r="G21">
            <v>21.85</v>
          </cell>
          <cell r="H21">
            <v>104</v>
          </cell>
          <cell r="I21">
            <v>4660000000</v>
          </cell>
          <cell r="J21">
            <v>2858910000</v>
          </cell>
          <cell r="K21">
            <v>44191559.98103366</v>
          </cell>
          <cell r="L21" t="e">
            <v>#DIV/0!</v>
          </cell>
          <cell r="M21"/>
          <cell r="N21">
            <v>2272.4</v>
          </cell>
          <cell r="O21">
            <v>7512.0661157024797</v>
          </cell>
          <cell r="P21"/>
          <cell r="Q21"/>
          <cell r="R21"/>
          <cell r="S21">
            <v>116.12</v>
          </cell>
          <cell r="T21">
            <v>6200</v>
          </cell>
          <cell r="U21">
            <v>6900</v>
          </cell>
          <cell r="V21">
            <v>6550</v>
          </cell>
        </row>
        <row r="22">
          <cell r="F22">
            <v>108.47</v>
          </cell>
          <cell r="G22">
            <v>21.85</v>
          </cell>
          <cell r="H22">
            <v>130</v>
          </cell>
          <cell r="I22">
            <v>4660000000</v>
          </cell>
          <cell r="J22">
            <v>2858910000</v>
          </cell>
          <cell r="K22">
            <v>42961187.4250945</v>
          </cell>
          <cell r="L22" t="e">
            <v>#DIV/0!</v>
          </cell>
          <cell r="M22"/>
          <cell r="N22">
            <v>2840.5</v>
          </cell>
          <cell r="O22">
            <v>9390.0826446280989</v>
          </cell>
          <cell r="P22"/>
          <cell r="Q22"/>
          <cell r="R22"/>
          <cell r="S22">
            <v>119</v>
          </cell>
          <cell r="T22">
            <v>6200</v>
          </cell>
          <cell r="U22">
            <v>6900</v>
          </cell>
          <cell r="V22">
            <v>6550</v>
          </cell>
        </row>
        <row r="23"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</row>
        <row r="24">
          <cell r="F24">
            <v>82.23</v>
          </cell>
          <cell r="G24">
            <v>17.64</v>
          </cell>
          <cell r="H24">
            <v>224</v>
          </cell>
          <cell r="I24">
            <v>4259000000</v>
          </cell>
          <cell r="J24">
            <v>2612896500</v>
          </cell>
          <cell r="K24">
            <v>51793749.239936762</v>
          </cell>
          <cell r="L24" t="e">
            <v>#DIV/0!</v>
          </cell>
          <cell r="M24"/>
          <cell r="N24">
            <v>3951.36</v>
          </cell>
          <cell r="O24">
            <v>13062.347107438018</v>
          </cell>
          <cell r="P24"/>
          <cell r="Q24"/>
          <cell r="R24"/>
          <cell r="T24">
            <v>6000</v>
          </cell>
          <cell r="U24">
            <v>6400</v>
          </cell>
          <cell r="V24">
            <v>6200</v>
          </cell>
        </row>
        <row r="25"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</row>
        <row r="26"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</row>
        <row r="27">
          <cell r="F27">
            <v>144.69999999999999</v>
          </cell>
          <cell r="G27">
            <v>22.39</v>
          </cell>
          <cell r="H27">
            <v>560</v>
          </cell>
          <cell r="I27">
            <v>5798000000</v>
          </cell>
          <cell r="J27">
            <v>3557073000</v>
          </cell>
          <cell r="K27">
            <v>40069108.500345543</v>
          </cell>
          <cell r="L27" t="e">
            <v>#DIV/0!</v>
          </cell>
          <cell r="M27"/>
          <cell r="N27">
            <v>12538.4</v>
          </cell>
          <cell r="O27">
            <v>41449.25619834711</v>
          </cell>
          <cell r="P27"/>
          <cell r="Q27"/>
          <cell r="R27"/>
          <cell r="S27">
            <v>156</v>
          </cell>
          <cell r="T27">
            <v>7317</v>
          </cell>
          <cell r="U27">
            <v>7900</v>
          </cell>
          <cell r="V27">
            <v>7608.5</v>
          </cell>
        </row>
        <row r="28"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</row>
        <row r="29">
          <cell r="F29">
            <v>157.36000000000001</v>
          </cell>
          <cell r="G29">
            <v>24.2</v>
          </cell>
          <cell r="H29">
            <v>420</v>
          </cell>
          <cell r="I29">
            <v>6373000000</v>
          </cell>
          <cell r="J29">
            <v>3909835500</v>
          </cell>
          <cell r="K29">
            <v>40499491.61159125</v>
          </cell>
          <cell r="L29" t="e">
            <v>#DIV/0!</v>
          </cell>
          <cell r="M29"/>
          <cell r="N29">
            <v>10164</v>
          </cell>
          <cell r="O29">
            <v>33600</v>
          </cell>
          <cell r="P29"/>
          <cell r="Q29"/>
          <cell r="R29"/>
          <cell r="S29">
            <v>170</v>
          </cell>
          <cell r="T29">
            <v>8300</v>
          </cell>
          <cell r="U29">
            <v>8800</v>
          </cell>
          <cell r="V29">
            <v>8550</v>
          </cell>
        </row>
        <row r="30">
          <cell r="F30">
            <v>196.7</v>
          </cell>
          <cell r="G30">
            <v>30.42</v>
          </cell>
          <cell r="H30">
            <v>252</v>
          </cell>
          <cell r="I30">
            <v>7979000000</v>
          </cell>
          <cell r="J30">
            <v>4895116500</v>
          </cell>
          <cell r="K30">
            <v>40564311.133706152</v>
          </cell>
          <cell r="L30" t="e">
            <v>#DIV/0!</v>
          </cell>
          <cell r="M30"/>
          <cell r="N30">
            <v>7665.84</v>
          </cell>
          <cell r="O30">
            <v>25341.619834710746</v>
          </cell>
          <cell r="P30"/>
          <cell r="Q30"/>
          <cell r="R30"/>
          <cell r="S30">
            <v>212</v>
          </cell>
          <cell r="T30">
            <v>9500</v>
          </cell>
          <cell r="U30">
            <v>10267</v>
          </cell>
          <cell r="V30">
            <v>9883.5</v>
          </cell>
        </row>
        <row r="31">
          <cell r="F31">
            <v>245.2</v>
          </cell>
          <cell r="G31">
            <v>37.75</v>
          </cell>
          <cell r="H31">
            <v>56</v>
          </cell>
          <cell r="I31">
            <v>9995000000</v>
          </cell>
          <cell r="J31">
            <v>6131932500</v>
          </cell>
          <cell r="K31">
            <v>40762642.740619905</v>
          </cell>
          <cell r="L31" t="e">
            <v>#DIV/0!</v>
          </cell>
          <cell r="M31"/>
          <cell r="N31">
            <v>2114</v>
          </cell>
          <cell r="O31">
            <v>6988.4297520661157</v>
          </cell>
          <cell r="P31"/>
          <cell r="Q31"/>
          <cell r="R31"/>
          <cell r="S31">
            <v>264</v>
          </cell>
          <cell r="T31">
            <v>12200</v>
          </cell>
          <cell r="U31">
            <v>13083</v>
          </cell>
          <cell r="V31">
            <v>12641.5</v>
          </cell>
        </row>
        <row r="32"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</row>
        <row r="33"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</row>
        <row r="34">
          <cell r="F34">
            <v>117.91</v>
          </cell>
          <cell r="G34">
            <v>36.5</v>
          </cell>
          <cell r="H34">
            <v>170</v>
          </cell>
          <cell r="I34">
            <v>5989000000</v>
          </cell>
          <cell r="J34">
            <v>3674251500</v>
          </cell>
          <cell r="K34">
            <v>50792977.694852009</v>
          </cell>
          <cell r="L34" t="e">
            <v>#DIV/0!</v>
          </cell>
          <cell r="M34"/>
          <cell r="N34">
            <v>6205</v>
          </cell>
          <cell r="O34">
            <v>20512.396694214876</v>
          </cell>
          <cell r="P34"/>
          <cell r="Q34"/>
          <cell r="R34"/>
          <cell r="S34"/>
          <cell r="T34">
            <v>7500</v>
          </cell>
          <cell r="U34">
            <v>8000</v>
          </cell>
          <cell r="V34">
            <v>7750</v>
          </cell>
        </row>
        <row r="35">
          <cell r="N35"/>
          <cell r="O35"/>
          <cell r="T35"/>
          <cell r="U35"/>
          <cell r="V35"/>
        </row>
        <row r="36">
          <cell r="F36">
            <v>232.67</v>
          </cell>
          <cell r="G36">
            <v>35</v>
          </cell>
          <cell r="H36">
            <v>4</v>
          </cell>
          <cell r="I36">
            <v>6467000000</v>
          </cell>
          <cell r="J36">
            <v>3967504500.0000005</v>
          </cell>
          <cell r="K36">
            <v>27794730.734516699</v>
          </cell>
          <cell r="L36" t="e">
            <v>#DIV/0!</v>
          </cell>
          <cell r="M36"/>
          <cell r="N36">
            <v>140</v>
          </cell>
          <cell r="O36">
            <v>462.80991735537191</v>
          </cell>
          <cell r="P36"/>
          <cell r="S36">
            <v>269</v>
          </cell>
          <cell r="T36"/>
          <cell r="U36"/>
          <cell r="V36">
            <v>10873.832057994361</v>
          </cell>
        </row>
        <row r="37">
          <cell r="F37">
            <v>243.96</v>
          </cell>
          <cell r="G37">
            <v>36.58</v>
          </cell>
          <cell r="H37">
            <v>52</v>
          </cell>
          <cell r="I37">
            <v>7449000000</v>
          </cell>
          <cell r="J37">
            <v>4569961500</v>
          </cell>
          <cell r="K37">
            <v>30533694.048204623</v>
          </cell>
          <cell r="L37" t="e">
            <v>#DIV/0!</v>
          </cell>
          <cell r="M37"/>
          <cell r="N37">
            <v>1902.1599999999999</v>
          </cell>
          <cell r="O37">
            <v>6288.1322314049585</v>
          </cell>
          <cell r="P37"/>
          <cell r="S37">
            <v>282</v>
          </cell>
          <cell r="T37">
            <v>12000</v>
          </cell>
          <cell r="U37">
            <v>13050</v>
          </cell>
          <cell r="V37">
            <v>12525</v>
          </cell>
        </row>
        <row r="38">
          <cell r="F38"/>
          <cell r="G38"/>
          <cell r="H38"/>
          <cell r="I38"/>
          <cell r="J38"/>
          <cell r="N38"/>
          <cell r="O38"/>
          <cell r="T38"/>
          <cell r="U38"/>
          <cell r="V38"/>
        </row>
        <row r="39">
          <cell r="F39">
            <v>193.33</v>
          </cell>
          <cell r="G39">
            <v>25.48</v>
          </cell>
          <cell r="H39">
            <v>17</v>
          </cell>
          <cell r="I39">
            <v>5499000000</v>
          </cell>
          <cell r="J39">
            <v>3373636500.0000005</v>
          </cell>
          <cell r="K39">
            <v>28443593.855066463</v>
          </cell>
          <cell r="L39" t="e">
            <v>#DIV/0!</v>
          </cell>
          <cell r="M39"/>
          <cell r="N39">
            <v>433.16</v>
          </cell>
          <cell r="O39">
            <v>1431.9338842975208</v>
          </cell>
          <cell r="P39"/>
          <cell r="V39">
            <v>7259.0492790835469</v>
          </cell>
        </row>
        <row r="40">
          <cell r="F40">
            <v>234.75</v>
          </cell>
          <cell r="G40">
            <v>30.94</v>
          </cell>
          <cell r="H40">
            <v>2</v>
          </cell>
          <cell r="I40">
            <v>6602000000</v>
          </cell>
          <cell r="J40">
            <v>4050327000.0000005</v>
          </cell>
          <cell r="K40">
            <v>28123535.676251329</v>
          </cell>
          <cell r="L40" t="e">
            <v>#DIV/0!</v>
          </cell>
          <cell r="M40"/>
          <cell r="N40">
            <v>61.88</v>
          </cell>
          <cell r="O40">
            <v>204.5619834710744</v>
          </cell>
          <cell r="P40"/>
          <cell r="V40">
            <v>8715.0833497926142</v>
          </cell>
        </row>
        <row r="41">
          <cell r="N41"/>
          <cell r="O41"/>
        </row>
        <row r="42">
          <cell r="F42">
            <v>181.81</v>
          </cell>
          <cell r="G42">
            <v>25.86</v>
          </cell>
          <cell r="H42">
            <v>17</v>
          </cell>
          <cell r="I42">
            <v>5490000000</v>
          </cell>
          <cell r="J42">
            <v>3368115000.0000005</v>
          </cell>
          <cell r="K42">
            <v>30196358.836147625</v>
          </cell>
          <cell r="L42" t="e">
            <v>#DIV/0!</v>
          </cell>
          <cell r="M42"/>
          <cell r="N42">
            <v>439.62</v>
          </cell>
          <cell r="O42">
            <v>1453.2892561983472</v>
          </cell>
          <cell r="P42"/>
          <cell r="V42">
            <v>7247.1686746987953</v>
          </cell>
        </row>
        <row r="43">
          <cell r="F43">
            <v>217.03</v>
          </cell>
          <cell r="G43">
            <v>30.86</v>
          </cell>
          <cell r="H43">
            <v>2</v>
          </cell>
          <cell r="I43">
            <v>6403000000</v>
          </cell>
          <cell r="J43">
            <v>3928240500.0000005</v>
          </cell>
          <cell r="K43">
            <v>29502833.709625397</v>
          </cell>
          <cell r="L43" t="e">
            <v>#DIV/0!</v>
          </cell>
          <cell r="M43"/>
          <cell r="N43">
            <v>61.72</v>
          </cell>
          <cell r="O43">
            <v>204.03305785123968</v>
          </cell>
          <cell r="P43"/>
          <cell r="V43">
            <v>8452.3899861742048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AA4DB9-F5D5-4923-9328-9930B9B7D516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597addfd-0d5e-40a6-8019-b19e6999fa3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2645-5656-4B47-9071-00FA402F34AF}">
  <dimension ref="A1:FE71"/>
  <sheetViews>
    <sheetView tabSelected="1" topLeftCell="AB12" workbookViewId="0">
      <selection activeCell="AU21" sqref="AU21"/>
    </sheetView>
  </sheetViews>
  <sheetFormatPr defaultRowHeight="17.600000000000001" x14ac:dyDescent="0.55000000000000004"/>
  <cols>
    <col min="1" max="1" width="11.28515625" customWidth="1"/>
    <col min="2" max="2" width="29.42578125" customWidth="1"/>
    <col min="3" max="3" width="10.78515625" bestFit="1" customWidth="1"/>
    <col min="4" max="4" width="35.2109375" customWidth="1"/>
    <col min="5" max="5" width="11.640625" customWidth="1"/>
    <col min="8" max="8" width="11.5" customWidth="1"/>
    <col min="9" max="9" width="10.640625" bestFit="1" customWidth="1"/>
    <col min="11" max="11" width="11.7109375" bestFit="1" customWidth="1"/>
    <col min="14" max="14" width="10.640625" bestFit="1" customWidth="1"/>
    <col min="16" max="16" width="11.7109375" bestFit="1" customWidth="1"/>
    <col min="17" max="18" width="10.640625" bestFit="1" customWidth="1"/>
    <col min="21" max="21" width="9.5703125" bestFit="1" customWidth="1"/>
    <col min="22" max="22" width="12.35546875" customWidth="1"/>
    <col min="23" max="23" width="11.92578125" customWidth="1"/>
    <col min="24" max="24" width="10.640625" customWidth="1"/>
    <col min="26" max="26" width="9.0703125" customWidth="1"/>
    <col min="32" max="32" width="10.78515625" bestFit="1" customWidth="1"/>
    <col min="41" max="41" width="10.78515625" bestFit="1" customWidth="1"/>
    <col min="50" max="50" width="9.140625" style="113"/>
    <col min="56" max="56" width="9.140625" style="15"/>
    <col min="58" max="58" width="10.640625" bestFit="1" customWidth="1"/>
    <col min="59" max="59" width="14.28515625" bestFit="1" customWidth="1"/>
    <col min="60" max="60" width="10.640625" bestFit="1" customWidth="1"/>
    <col min="62" max="62" width="11.7109375" bestFit="1" customWidth="1"/>
    <col min="65" max="65" width="9.140625" style="110"/>
    <col min="92" max="92" width="11.7109375" bestFit="1" customWidth="1"/>
    <col min="93" max="93" width="10.640625" bestFit="1" customWidth="1"/>
    <col min="95" max="95" width="11.7109375" bestFit="1" customWidth="1"/>
    <col min="96" max="100" width="11.7109375" customWidth="1"/>
    <col min="104" max="104" width="10.640625" bestFit="1" customWidth="1"/>
    <col min="105" max="105" width="10.640625" customWidth="1"/>
    <col min="106" max="106" width="11.7109375" bestFit="1" customWidth="1"/>
    <col min="108" max="108" width="9.140625" style="110"/>
    <col min="110" max="110" width="9.0703125" customWidth="1"/>
    <col min="114" max="114" width="10.640625" bestFit="1" customWidth="1"/>
    <col min="116" max="116" width="10.78515625" bestFit="1" customWidth="1"/>
    <col min="118" max="118" width="9.140625" style="128"/>
    <col min="120" max="120" width="11.2109375" bestFit="1" customWidth="1"/>
    <col min="121" max="138" width="2.78515625" customWidth="1"/>
    <col min="142" max="159" width="2.5703125" customWidth="1"/>
  </cols>
  <sheetData>
    <row r="1" spans="1:161" x14ac:dyDescent="0.55000000000000004">
      <c r="B1" t="s">
        <v>646</v>
      </c>
    </row>
    <row r="2" spans="1:161" x14ac:dyDescent="0.55000000000000004">
      <c r="A2" s="21" t="s">
        <v>642</v>
      </c>
      <c r="B2" t="s">
        <v>457</v>
      </c>
    </row>
    <row r="3" spans="1:161" x14ac:dyDescent="0.55000000000000004">
      <c r="A3" s="112" t="s">
        <v>642</v>
      </c>
      <c r="B3" t="s">
        <v>268</v>
      </c>
    </row>
    <row r="4" spans="1:161" x14ac:dyDescent="0.55000000000000004">
      <c r="A4" s="105" t="s">
        <v>643</v>
      </c>
    </row>
    <row r="5" spans="1:161" x14ac:dyDescent="0.55000000000000004">
      <c r="A5" s="14" t="s">
        <v>644</v>
      </c>
      <c r="B5" t="s">
        <v>660</v>
      </c>
    </row>
    <row r="6" spans="1:161" x14ac:dyDescent="0.55000000000000004">
      <c r="A6" s="110" t="s">
        <v>644</v>
      </c>
      <c r="B6" t="s">
        <v>661</v>
      </c>
    </row>
    <row r="7" spans="1:161" x14ac:dyDescent="0.55000000000000004">
      <c r="A7" s="113" t="s">
        <v>645</v>
      </c>
      <c r="AH7" t="s">
        <v>666</v>
      </c>
      <c r="AI7" t="s">
        <v>666</v>
      </c>
    </row>
    <row r="9" spans="1:161" ht="18.899999999999999" customHeight="1" x14ac:dyDescent="0.55000000000000004">
      <c r="H9" s="66" t="s">
        <v>673</v>
      </c>
      <c r="J9" t="s">
        <v>666</v>
      </c>
      <c r="L9" t="s">
        <v>666</v>
      </c>
      <c r="P9" s="66" t="s">
        <v>673</v>
      </c>
      <c r="T9" t="s">
        <v>666</v>
      </c>
      <c r="AA9" s="116" t="s">
        <v>683</v>
      </c>
      <c r="AB9" s="117" t="s">
        <v>683</v>
      </c>
      <c r="AC9" s="117" t="s">
        <v>683</v>
      </c>
      <c r="AD9" s="117" t="s">
        <v>683</v>
      </c>
      <c r="AE9" s="117" t="s">
        <v>683</v>
      </c>
      <c r="AH9" s="66" t="s">
        <v>673</v>
      </c>
      <c r="AI9" s="66"/>
      <c r="AJ9" s="66" t="s">
        <v>673</v>
      </c>
      <c r="AT9" t="s">
        <v>666</v>
      </c>
      <c r="DG9" s="116" t="s">
        <v>683</v>
      </c>
      <c r="DH9" s="117" t="s">
        <v>683</v>
      </c>
      <c r="DI9" s="117" t="s">
        <v>683</v>
      </c>
      <c r="DJ9" s="117" t="s">
        <v>683</v>
      </c>
      <c r="DK9" s="117" t="s">
        <v>683</v>
      </c>
    </row>
    <row r="10" spans="1:161" x14ac:dyDescent="0.55000000000000004">
      <c r="BO10" t="s">
        <v>709</v>
      </c>
    </row>
    <row r="11" spans="1:161" x14ac:dyDescent="0.55000000000000004">
      <c r="A11" t="s">
        <v>704</v>
      </c>
      <c r="J11">
        <v>11</v>
      </c>
      <c r="L11">
        <v>11</v>
      </c>
      <c r="N11">
        <v>11</v>
      </c>
      <c r="V11">
        <v>10</v>
      </c>
      <c r="W11">
        <v>11</v>
      </c>
      <c r="Z11">
        <v>11</v>
      </c>
      <c r="AA11">
        <v>11</v>
      </c>
      <c r="AB11">
        <v>11</v>
      </c>
      <c r="AC11">
        <v>11</v>
      </c>
      <c r="AH11">
        <v>12</v>
      </c>
      <c r="BF11">
        <v>10</v>
      </c>
      <c r="BO11">
        <v>11</v>
      </c>
      <c r="BQ11">
        <v>22</v>
      </c>
      <c r="BR11">
        <v>22</v>
      </c>
      <c r="BV11">
        <v>22</v>
      </c>
      <c r="BZ11">
        <v>22</v>
      </c>
      <c r="CE11">
        <v>22</v>
      </c>
      <c r="CG11">
        <v>22</v>
      </c>
      <c r="CH11">
        <v>22</v>
      </c>
      <c r="CI11">
        <v>22</v>
      </c>
      <c r="CJ11">
        <v>22</v>
      </c>
      <c r="CK11">
        <v>22</v>
      </c>
      <c r="CN11">
        <v>10</v>
      </c>
      <c r="CO11">
        <v>11</v>
      </c>
      <c r="CR11" s="66">
        <f>+J11</f>
        <v>11</v>
      </c>
      <c r="CS11" s="66">
        <f>+L11</f>
        <v>11</v>
      </c>
      <c r="DF11">
        <v>11</v>
      </c>
      <c r="DG11">
        <v>11</v>
      </c>
      <c r="DH11">
        <v>11</v>
      </c>
      <c r="DI11">
        <v>11</v>
      </c>
    </row>
    <row r="12" spans="1:161" x14ac:dyDescent="0.55000000000000004">
      <c r="A12" t="s">
        <v>703</v>
      </c>
      <c r="M12">
        <v>10</v>
      </c>
      <c r="N12">
        <v>10</v>
      </c>
      <c r="V12">
        <v>9</v>
      </c>
      <c r="W12">
        <v>9</v>
      </c>
      <c r="BF12">
        <v>10</v>
      </c>
      <c r="BG12">
        <v>10</v>
      </c>
      <c r="BH12">
        <v>10</v>
      </c>
      <c r="BI12">
        <v>10</v>
      </c>
      <c r="BJ12">
        <v>10</v>
      </c>
      <c r="CR12" s="66"/>
      <c r="CS12" s="66"/>
      <c r="DP12" t="s">
        <v>708</v>
      </c>
    </row>
    <row r="13" spans="1:161" x14ac:dyDescent="0.55000000000000004">
      <c r="A13" t="s">
        <v>733</v>
      </c>
      <c r="CR13" s="66"/>
      <c r="CS13" s="66"/>
    </row>
    <row r="14" spans="1:161" x14ac:dyDescent="0.55000000000000004">
      <c r="A14" t="s">
        <v>759</v>
      </c>
      <c r="AT14" t="s">
        <v>505</v>
      </c>
      <c r="BO14">
        <v>16</v>
      </c>
      <c r="BQ14">
        <v>25</v>
      </c>
      <c r="CE14">
        <v>25</v>
      </c>
      <c r="CG14">
        <v>25</v>
      </c>
      <c r="CI14">
        <v>25</v>
      </c>
      <c r="CK14">
        <v>25</v>
      </c>
      <c r="CN14">
        <v>26</v>
      </c>
      <c r="CR14" s="66"/>
      <c r="CS14" s="66"/>
    </row>
    <row r="15" spans="1:161" x14ac:dyDescent="0.55000000000000004">
      <c r="A15" t="s">
        <v>794</v>
      </c>
      <c r="H15">
        <v>18</v>
      </c>
      <c r="BO15">
        <v>18</v>
      </c>
      <c r="CE15">
        <v>18</v>
      </c>
      <c r="CN15">
        <v>3</v>
      </c>
      <c r="CR15" s="66"/>
      <c r="CS15" s="66"/>
    </row>
    <row r="16" spans="1:161" ht="32.6" customHeight="1" x14ac:dyDescent="0.55000000000000004">
      <c r="A16" s="109" t="s">
        <v>0</v>
      </c>
      <c r="B16" s="109" t="s">
        <v>2</v>
      </c>
      <c r="C16" s="109" t="s">
        <v>327</v>
      </c>
      <c r="D16" s="109" t="s">
        <v>328</v>
      </c>
      <c r="E16" s="107" t="s">
        <v>16</v>
      </c>
      <c r="F16" s="107" t="s">
        <v>609</v>
      </c>
      <c r="G16" s="66"/>
      <c r="H16" s="108" t="s">
        <v>669</v>
      </c>
      <c r="I16" s="111" t="s">
        <v>629</v>
      </c>
      <c r="J16" s="109" t="s">
        <v>657</v>
      </c>
      <c r="K16" s="111" t="s">
        <v>630</v>
      </c>
      <c r="L16" s="109" t="s">
        <v>658</v>
      </c>
      <c r="M16" s="111" t="s">
        <v>663</v>
      </c>
      <c r="N16" s="109" t="s">
        <v>628</v>
      </c>
      <c r="P16" s="108" t="s">
        <v>671</v>
      </c>
      <c r="Q16" s="108" t="s">
        <v>623</v>
      </c>
      <c r="R16" s="108" t="s">
        <v>624</v>
      </c>
      <c r="S16" s="107" t="s">
        <v>625</v>
      </c>
      <c r="T16" s="111" t="s">
        <v>582</v>
      </c>
      <c r="U16" s="66"/>
      <c r="V16" s="109" t="s">
        <v>619</v>
      </c>
      <c r="W16" s="109" t="s">
        <v>621</v>
      </c>
      <c r="X16" s="108" t="s">
        <v>622</v>
      </c>
      <c r="Z16" s="21" t="s">
        <v>685</v>
      </c>
      <c r="AA16" s="109" t="s">
        <v>615</v>
      </c>
      <c r="AB16" s="109" t="s">
        <v>616</v>
      </c>
      <c r="AC16" s="109" t="s">
        <v>647</v>
      </c>
      <c r="AD16" s="112" t="s">
        <v>268</v>
      </c>
      <c r="AE16" s="112" t="s">
        <v>684</v>
      </c>
      <c r="AF16" s="112" t="s">
        <v>662</v>
      </c>
      <c r="AH16" s="107" t="s">
        <v>667</v>
      </c>
      <c r="AI16" s="107" t="s">
        <v>803</v>
      </c>
      <c r="AJ16" s="108" t="s">
        <v>672</v>
      </c>
      <c r="AL16" s="107" t="s">
        <v>674</v>
      </c>
      <c r="AM16" s="107" t="s">
        <v>678</v>
      </c>
      <c r="AN16" s="115" t="s">
        <v>801</v>
      </c>
      <c r="AO16" s="112" t="s">
        <v>662</v>
      </c>
      <c r="AP16" s="115" t="s">
        <v>675</v>
      </c>
      <c r="AQ16" s="108" t="s">
        <v>676</v>
      </c>
      <c r="AR16" s="107" t="s">
        <v>681</v>
      </c>
      <c r="AS16" s="107" t="s">
        <v>730</v>
      </c>
      <c r="AT16" s="107" t="s">
        <v>677</v>
      </c>
      <c r="AU16" s="108" t="s">
        <v>272</v>
      </c>
      <c r="AV16" s="108" t="s">
        <v>273</v>
      </c>
      <c r="AW16" s="66"/>
      <c r="AX16" s="114" t="s">
        <v>729</v>
      </c>
      <c r="AY16" s="66"/>
      <c r="AZ16" s="114" t="s">
        <v>668</v>
      </c>
      <c r="BB16" s="114" t="s">
        <v>682</v>
      </c>
      <c r="BD16" s="15" t="s">
        <v>664</v>
      </c>
      <c r="BF16" s="109" t="s">
        <v>618</v>
      </c>
      <c r="BG16" s="108" t="s">
        <v>623</v>
      </c>
      <c r="BH16" s="108" t="s">
        <v>624</v>
      </c>
      <c r="BI16" s="107" t="s">
        <v>625</v>
      </c>
      <c r="BJ16" s="111" t="s">
        <v>582</v>
      </c>
      <c r="BM16" s="110" t="s">
        <v>648</v>
      </c>
      <c r="BO16" s="21" t="s">
        <v>631</v>
      </c>
      <c r="BP16" s="108" t="s">
        <v>641</v>
      </c>
      <c r="BQ16" s="21" t="s">
        <v>632</v>
      </c>
      <c r="BR16" s="21" t="s">
        <v>633</v>
      </c>
      <c r="BS16" s="14" t="s">
        <v>634</v>
      </c>
      <c r="BT16" s="14" t="s">
        <v>651</v>
      </c>
      <c r="BU16" s="14" t="s">
        <v>652</v>
      </c>
      <c r="BV16" s="21" t="s">
        <v>635</v>
      </c>
      <c r="BW16" s="14" t="s">
        <v>636</v>
      </c>
      <c r="BX16" s="14" t="s">
        <v>651</v>
      </c>
      <c r="BY16" s="14" t="s">
        <v>652</v>
      </c>
      <c r="BZ16" s="21" t="s">
        <v>637</v>
      </c>
      <c r="CA16" s="110" t="s">
        <v>638</v>
      </c>
      <c r="CB16" s="14" t="s">
        <v>651</v>
      </c>
      <c r="CC16" s="14" t="s">
        <v>652</v>
      </c>
      <c r="CE16" s="21" t="s">
        <v>706</v>
      </c>
      <c r="CF16" s="21" t="s">
        <v>707</v>
      </c>
      <c r="CG16" s="21" t="s">
        <v>428</v>
      </c>
      <c r="CH16" s="14" t="s">
        <v>639</v>
      </c>
      <c r="CI16" s="21" t="s">
        <v>431</v>
      </c>
      <c r="CJ16" s="14" t="s">
        <v>640</v>
      </c>
      <c r="CK16" s="105" t="s">
        <v>187</v>
      </c>
      <c r="CM16" s="14" t="s">
        <v>649</v>
      </c>
      <c r="CN16" s="109" t="s">
        <v>617</v>
      </c>
      <c r="CO16" s="109" t="s">
        <v>628</v>
      </c>
      <c r="CP16" s="14" t="s">
        <v>650</v>
      </c>
      <c r="CQ16" s="105" t="s">
        <v>653</v>
      </c>
      <c r="CR16" s="109" t="str">
        <f>+J16</f>
        <v>일분 분양평단가</v>
      </c>
      <c r="CS16" s="109" t="str">
        <f>+L16</f>
        <v>조분 분양평단가</v>
      </c>
      <c r="CT16" s="14" t="s">
        <v>655</v>
      </c>
      <c r="CU16" s="14" t="s">
        <v>656</v>
      </c>
      <c r="CV16" s="14" t="s">
        <v>659</v>
      </c>
      <c r="CW16" s="110" t="s">
        <v>654</v>
      </c>
      <c r="CY16" s="110" t="s">
        <v>727</v>
      </c>
      <c r="CZ16" s="110" t="str">
        <f>+I16</f>
        <v>일반분양총액</v>
      </c>
      <c r="DA16" s="110" t="s">
        <v>728</v>
      </c>
      <c r="DB16" s="110" t="str">
        <f>+K16</f>
        <v>조합분양총액</v>
      </c>
      <c r="DD16" s="110" t="s">
        <v>648</v>
      </c>
      <c r="DF16" s="21" t="s">
        <v>685</v>
      </c>
      <c r="DG16" s="109" t="s">
        <v>615</v>
      </c>
      <c r="DH16" s="109" t="s">
        <v>616</v>
      </c>
      <c r="DI16" s="109" t="s">
        <v>647</v>
      </c>
      <c r="DJ16" s="125" t="s">
        <v>700</v>
      </c>
      <c r="DK16" s="112" t="s">
        <v>684</v>
      </c>
      <c r="DL16" s="112" t="s">
        <v>662</v>
      </c>
      <c r="DP16" s="66"/>
      <c r="DQ16" s="66"/>
      <c r="DR16" s="66"/>
      <c r="DS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  <c r="EY16" s="66"/>
      <c r="EZ16" s="66"/>
      <c r="FA16" s="66"/>
      <c r="FB16" s="66"/>
      <c r="FC16" s="66"/>
      <c r="FD16" s="66"/>
      <c r="FE16" s="66"/>
    </row>
    <row r="17" spans="1:161" ht="32.6" customHeight="1" x14ac:dyDescent="0.55000000000000004">
      <c r="A17" s="109" t="s">
        <v>0</v>
      </c>
      <c r="B17" s="109" t="s">
        <v>2</v>
      </c>
      <c r="C17" s="109" t="s">
        <v>327</v>
      </c>
      <c r="D17" s="109" t="s">
        <v>328</v>
      </c>
      <c r="E17" s="107" t="s">
        <v>16</v>
      </c>
      <c r="F17" s="107" t="s">
        <v>609</v>
      </c>
      <c r="G17" s="66"/>
      <c r="H17" s="108" t="s">
        <v>669</v>
      </c>
      <c r="I17" s="109" t="s">
        <v>716</v>
      </c>
      <c r="J17" s="108" t="s">
        <v>717</v>
      </c>
      <c r="K17" s="109" t="s">
        <v>718</v>
      </c>
      <c r="L17" s="108" t="s">
        <v>719</v>
      </c>
      <c r="M17" s="109" t="s">
        <v>720</v>
      </c>
      <c r="N17" s="109" t="s">
        <v>721</v>
      </c>
      <c r="P17" s="108" t="s">
        <v>670</v>
      </c>
      <c r="Q17" s="109" t="s">
        <v>722</v>
      </c>
      <c r="R17" s="109" t="s">
        <v>723</v>
      </c>
      <c r="S17" s="108" t="s">
        <v>724</v>
      </c>
      <c r="T17" s="108" t="s">
        <v>725</v>
      </c>
      <c r="U17" s="66"/>
      <c r="V17" s="109" t="s">
        <v>619</v>
      </c>
      <c r="W17" s="109" t="s">
        <v>621</v>
      </c>
      <c r="X17" s="109" t="s">
        <v>726</v>
      </c>
      <c r="Z17" s="21" t="s">
        <v>685</v>
      </c>
      <c r="AA17" s="109" t="s">
        <v>615</v>
      </c>
      <c r="AB17" s="109" t="s">
        <v>616</v>
      </c>
      <c r="AC17" s="109" t="s">
        <v>647</v>
      </c>
      <c r="AD17" s="112" t="s">
        <v>268</v>
      </c>
      <c r="AE17" s="112" t="s">
        <v>684</v>
      </c>
      <c r="AF17" s="112" t="s">
        <v>662</v>
      </c>
      <c r="AH17" s="107" t="s">
        <v>667</v>
      </c>
      <c r="AI17" s="107" t="s">
        <v>803</v>
      </c>
      <c r="AJ17" s="108" t="s">
        <v>672</v>
      </c>
      <c r="AL17" s="107" t="s">
        <v>674</v>
      </c>
      <c r="AM17" s="107" t="s">
        <v>678</v>
      </c>
      <c r="AN17" s="115" t="s">
        <v>801</v>
      </c>
      <c r="AO17" s="112" t="s">
        <v>662</v>
      </c>
      <c r="AP17" s="115" t="s">
        <v>675</v>
      </c>
      <c r="AQ17" s="108" t="s">
        <v>676</v>
      </c>
      <c r="AR17" s="108" t="s">
        <v>681</v>
      </c>
      <c r="AS17" s="107" t="s">
        <v>730</v>
      </c>
      <c r="AT17" s="107" t="s">
        <v>677</v>
      </c>
      <c r="AU17" s="108" t="s">
        <v>272</v>
      </c>
      <c r="AV17" s="108" t="s">
        <v>273</v>
      </c>
      <c r="AW17" s="66"/>
      <c r="AX17" s="114"/>
      <c r="AY17" s="66"/>
      <c r="AZ17" s="114"/>
      <c r="BB17" s="114"/>
      <c r="BF17" s="109" t="s">
        <v>618</v>
      </c>
      <c r="BG17" s="109" t="s">
        <v>154</v>
      </c>
      <c r="BH17" s="109" t="s">
        <v>155</v>
      </c>
      <c r="BI17" s="109" t="s">
        <v>625</v>
      </c>
      <c r="BJ17" s="111" t="s">
        <v>582</v>
      </c>
      <c r="BP17" s="66"/>
      <c r="CN17" s="66"/>
      <c r="CO17" s="66"/>
      <c r="CR17" s="66"/>
      <c r="CS17" s="66"/>
      <c r="DD17"/>
      <c r="DG17" s="66"/>
      <c r="DH17" s="66"/>
      <c r="DI17" s="66"/>
      <c r="DJ17" s="22"/>
      <c r="DN17" s="128" t="s">
        <v>705</v>
      </c>
      <c r="DP17" s="109" t="s">
        <v>710</v>
      </c>
      <c r="DQ17" s="66"/>
      <c r="DR17" s="66"/>
      <c r="DS17" s="66"/>
      <c r="EI17" s="108" t="s">
        <v>712</v>
      </c>
      <c r="EJ17" s="108" t="s">
        <v>714</v>
      </c>
      <c r="EK17" s="109" t="s">
        <v>711</v>
      </c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108" t="s">
        <v>713</v>
      </c>
      <c r="FE17" s="108" t="s">
        <v>715</v>
      </c>
    </row>
    <row r="18" spans="1:161" ht="32.6" customHeight="1" x14ac:dyDescent="0.55000000000000004">
      <c r="A18" s="109" t="s">
        <v>0</v>
      </c>
      <c r="B18" s="109" t="s">
        <v>2</v>
      </c>
      <c r="C18" s="109" t="s">
        <v>327</v>
      </c>
      <c r="D18" s="109" t="s">
        <v>328</v>
      </c>
      <c r="E18" s="107" t="s">
        <v>16</v>
      </c>
      <c r="F18" s="107" t="s">
        <v>609</v>
      </c>
      <c r="G18" s="66"/>
      <c r="H18" s="108" t="s">
        <v>669</v>
      </c>
      <c r="I18" s="109" t="s">
        <v>716</v>
      </c>
      <c r="J18" s="108" t="s">
        <v>717</v>
      </c>
      <c r="K18" s="109" t="s">
        <v>718</v>
      </c>
      <c r="L18" s="108" t="s">
        <v>719</v>
      </c>
      <c r="M18" s="109" t="s">
        <v>720</v>
      </c>
      <c r="N18" s="109" t="s">
        <v>734</v>
      </c>
      <c r="P18" s="108" t="s">
        <v>670</v>
      </c>
      <c r="Q18" s="109" t="s">
        <v>722</v>
      </c>
      <c r="R18" s="109" t="s">
        <v>723</v>
      </c>
      <c r="S18" s="108" t="s">
        <v>724</v>
      </c>
      <c r="T18" s="108" t="s">
        <v>725</v>
      </c>
      <c r="U18" s="66"/>
      <c r="V18" s="109" t="s">
        <v>619</v>
      </c>
      <c r="W18" s="109" t="s">
        <v>621</v>
      </c>
      <c r="X18" s="109" t="s">
        <v>726</v>
      </c>
      <c r="Z18" s="21" t="s">
        <v>685</v>
      </c>
      <c r="AA18" s="109" t="s">
        <v>615</v>
      </c>
      <c r="AB18" s="109" t="s">
        <v>616</v>
      </c>
      <c r="AC18" s="109" t="s">
        <v>647</v>
      </c>
      <c r="AD18" s="112" t="s">
        <v>268</v>
      </c>
      <c r="AE18" s="112" t="s">
        <v>684</v>
      </c>
      <c r="AF18" s="112" t="s">
        <v>662</v>
      </c>
      <c r="AH18" s="107" t="s">
        <v>667</v>
      </c>
      <c r="AI18" s="107" t="s">
        <v>803</v>
      </c>
      <c r="AJ18" s="108" t="s">
        <v>672</v>
      </c>
      <c r="AL18" s="107" t="s">
        <v>674</v>
      </c>
      <c r="AM18" s="107" t="s">
        <v>678</v>
      </c>
      <c r="AN18" s="115" t="s">
        <v>801</v>
      </c>
      <c r="AO18" s="112" t="s">
        <v>662</v>
      </c>
      <c r="AP18" s="115" t="s">
        <v>675</v>
      </c>
      <c r="AQ18" s="108" t="s">
        <v>676</v>
      </c>
      <c r="AR18" s="108" t="s">
        <v>681</v>
      </c>
      <c r="AS18" s="107" t="s">
        <v>730</v>
      </c>
      <c r="AT18" s="107" t="s">
        <v>677</v>
      </c>
      <c r="AU18" s="108" t="s">
        <v>272</v>
      </c>
      <c r="AV18" s="108" t="s">
        <v>273</v>
      </c>
      <c r="AW18" s="66"/>
      <c r="AX18" s="114"/>
      <c r="AY18" s="66"/>
      <c r="AZ18" s="114"/>
      <c r="BB18" s="114"/>
      <c r="BF18" s="109" t="s">
        <v>618</v>
      </c>
      <c r="BG18" s="109" t="s">
        <v>154</v>
      </c>
      <c r="BH18" s="109" t="s">
        <v>155</v>
      </c>
      <c r="BI18" s="109" t="s">
        <v>625</v>
      </c>
      <c r="BJ18" s="111" t="s">
        <v>582</v>
      </c>
      <c r="BP18" s="66"/>
      <c r="CN18" s="66"/>
      <c r="CO18" s="66"/>
      <c r="CR18" s="66"/>
      <c r="CS18" s="66"/>
      <c r="DD18"/>
      <c r="DG18" s="66"/>
      <c r="DH18" s="66"/>
      <c r="DI18" s="66"/>
      <c r="DJ18" s="22"/>
      <c r="DN18" s="128" t="s">
        <v>737</v>
      </c>
      <c r="DP18" s="109" t="s">
        <v>710</v>
      </c>
      <c r="DQ18" s="66"/>
      <c r="DR18" s="66"/>
      <c r="DS18" s="66"/>
      <c r="EI18" s="108" t="s">
        <v>712</v>
      </c>
      <c r="EJ18" s="108" t="s">
        <v>714</v>
      </c>
      <c r="EK18" s="109" t="s">
        <v>711</v>
      </c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  <c r="EX18" s="66"/>
      <c r="EY18" s="66"/>
      <c r="EZ18" s="66"/>
      <c r="FA18" s="66"/>
      <c r="FB18" s="66"/>
      <c r="FC18" s="66"/>
      <c r="FD18" s="108" t="s">
        <v>713</v>
      </c>
      <c r="FE18" s="108" t="s">
        <v>715</v>
      </c>
    </row>
    <row r="19" spans="1:161" ht="32.6" customHeight="1" x14ac:dyDescent="0.55000000000000004">
      <c r="A19" s="109" t="s">
        <v>0</v>
      </c>
      <c r="B19" s="109" t="s">
        <v>2</v>
      </c>
      <c r="C19" s="109" t="s">
        <v>327</v>
      </c>
      <c r="D19" s="109" t="s">
        <v>328</v>
      </c>
      <c r="E19" s="107" t="s">
        <v>16</v>
      </c>
      <c r="F19" s="107" t="s">
        <v>609</v>
      </c>
      <c r="G19" s="66"/>
      <c r="H19" s="108" t="s">
        <v>669</v>
      </c>
      <c r="I19" s="111" t="s">
        <v>716</v>
      </c>
      <c r="J19" s="109" t="s">
        <v>717</v>
      </c>
      <c r="K19" s="111" t="s">
        <v>718</v>
      </c>
      <c r="L19" s="108" t="s">
        <v>761</v>
      </c>
      <c r="M19" s="111" t="s">
        <v>720</v>
      </c>
      <c r="N19" s="109" t="s">
        <v>628</v>
      </c>
      <c r="P19" s="108" t="s">
        <v>670</v>
      </c>
      <c r="Q19" s="108" t="s">
        <v>623</v>
      </c>
      <c r="R19" s="108" t="s">
        <v>624</v>
      </c>
      <c r="S19" s="107" t="s">
        <v>625</v>
      </c>
      <c r="T19" s="111" t="s">
        <v>582</v>
      </c>
      <c r="U19" s="66"/>
      <c r="V19" s="109" t="s">
        <v>619</v>
      </c>
      <c r="W19" s="109" t="s">
        <v>621</v>
      </c>
      <c r="X19" s="109" t="s">
        <v>726</v>
      </c>
      <c r="Z19" s="21" t="s">
        <v>685</v>
      </c>
      <c r="AA19" s="109" t="s">
        <v>615</v>
      </c>
      <c r="AB19" s="109" t="s">
        <v>616</v>
      </c>
      <c r="AC19" s="109" t="s">
        <v>647</v>
      </c>
      <c r="AD19" s="112" t="s">
        <v>268</v>
      </c>
      <c r="AE19" s="112" t="s">
        <v>684</v>
      </c>
      <c r="AF19" s="112" t="s">
        <v>662</v>
      </c>
      <c r="AH19" s="107" t="s">
        <v>667</v>
      </c>
      <c r="AI19" s="107" t="s">
        <v>803</v>
      </c>
      <c r="AJ19" s="108" t="s">
        <v>672</v>
      </c>
      <c r="AL19" s="107" t="s">
        <v>674</v>
      </c>
      <c r="AM19" s="107" t="s">
        <v>678</v>
      </c>
      <c r="AN19" s="115" t="s">
        <v>801</v>
      </c>
      <c r="AO19" s="112" t="s">
        <v>662</v>
      </c>
      <c r="AP19" s="115" t="s">
        <v>675</v>
      </c>
      <c r="AQ19" s="108" t="s">
        <v>676</v>
      </c>
      <c r="AR19" s="107" t="s">
        <v>681</v>
      </c>
      <c r="AS19" s="107" t="s">
        <v>730</v>
      </c>
      <c r="AT19" s="107" t="s">
        <v>677</v>
      </c>
      <c r="AU19" s="108" t="s">
        <v>272</v>
      </c>
      <c r="AV19" s="108" t="s">
        <v>273</v>
      </c>
      <c r="AW19" s="66"/>
      <c r="AX19" s="114"/>
      <c r="AY19" s="66"/>
      <c r="AZ19" s="114"/>
      <c r="BB19" s="114"/>
      <c r="BF19" s="109" t="s">
        <v>618</v>
      </c>
      <c r="BG19" s="108" t="s">
        <v>623</v>
      </c>
      <c r="BH19" s="108" t="s">
        <v>624</v>
      </c>
      <c r="BI19" s="107" t="s">
        <v>625</v>
      </c>
      <c r="BJ19" s="111" t="s">
        <v>582</v>
      </c>
      <c r="BM19" s="110" t="s">
        <v>760</v>
      </c>
      <c r="BO19" s="21" t="s">
        <v>631</v>
      </c>
      <c r="BP19" s="108" t="s">
        <v>641</v>
      </c>
      <c r="BQ19" s="21" t="s">
        <v>632</v>
      </c>
      <c r="BR19" s="21" t="s">
        <v>633</v>
      </c>
      <c r="BS19" s="14" t="s">
        <v>634</v>
      </c>
      <c r="BT19" s="14" t="s">
        <v>651</v>
      </c>
      <c r="BU19" s="14" t="s">
        <v>652</v>
      </c>
      <c r="BV19" s="21" t="s">
        <v>635</v>
      </c>
      <c r="BW19" s="14" t="s">
        <v>636</v>
      </c>
      <c r="BX19" s="14" t="s">
        <v>651</v>
      </c>
      <c r="BY19" s="14" t="s">
        <v>652</v>
      </c>
      <c r="BZ19" s="21" t="s">
        <v>637</v>
      </c>
      <c r="CA19" s="110" t="s">
        <v>638</v>
      </c>
      <c r="CB19" s="14" t="s">
        <v>651</v>
      </c>
      <c r="CC19" s="14" t="s">
        <v>652</v>
      </c>
      <c r="CE19" s="21" t="s">
        <v>706</v>
      </c>
      <c r="CF19" s="21" t="s">
        <v>707</v>
      </c>
      <c r="CG19" s="21" t="s">
        <v>428</v>
      </c>
      <c r="CH19" s="14" t="s">
        <v>639</v>
      </c>
      <c r="CI19" s="21" t="s">
        <v>431</v>
      </c>
      <c r="CJ19" s="14" t="s">
        <v>640</v>
      </c>
      <c r="CK19" s="105" t="s">
        <v>187</v>
      </c>
      <c r="CM19" s="14" t="s">
        <v>649</v>
      </c>
      <c r="CN19" s="109" t="s">
        <v>617</v>
      </c>
      <c r="CO19" s="109" t="s">
        <v>628</v>
      </c>
      <c r="CP19" s="14" t="s">
        <v>650</v>
      </c>
      <c r="CQ19" s="105" t="s">
        <v>653</v>
      </c>
      <c r="CR19" s="109" t="str">
        <f t="shared" ref="CR19:CR42" si="0">+J19</f>
        <v>일분 분양평단가</v>
      </c>
      <c r="CS19" s="109" t="str">
        <f t="shared" ref="CS19:CS42" si="1">+L19</f>
        <v>조분 분양평단가(계산)</v>
      </c>
      <c r="CT19" s="14" t="s">
        <v>655</v>
      </c>
      <c r="CU19" s="14" t="s">
        <v>656</v>
      </c>
      <c r="CV19" s="14" t="s">
        <v>659</v>
      </c>
      <c r="CW19" s="110" t="s">
        <v>654</v>
      </c>
      <c r="CY19" s="110" t="s">
        <v>727</v>
      </c>
      <c r="CZ19" s="110" t="str">
        <f>+I19</f>
        <v>일반분양총액</v>
      </c>
      <c r="DA19" s="110" t="s">
        <v>728</v>
      </c>
      <c r="DB19" s="110" t="str">
        <f>+K19</f>
        <v>조합분양총액</v>
      </c>
      <c r="DD19"/>
      <c r="DG19" s="66"/>
      <c r="DH19" s="66"/>
      <c r="DI19" s="66"/>
      <c r="DJ19" s="22"/>
      <c r="DN19" s="128" t="s">
        <v>737</v>
      </c>
      <c r="DP19" s="109" t="s">
        <v>710</v>
      </c>
      <c r="DQ19" s="66"/>
      <c r="DR19" s="66"/>
      <c r="DS19" s="66"/>
      <c r="EI19" s="108" t="s">
        <v>712</v>
      </c>
      <c r="EJ19" s="108" t="s">
        <v>714</v>
      </c>
      <c r="EK19" s="109" t="s">
        <v>711</v>
      </c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108" t="s">
        <v>713</v>
      </c>
      <c r="FE19" s="108" t="s">
        <v>715</v>
      </c>
    </row>
    <row r="20" spans="1:161" ht="32.6" customHeight="1" x14ac:dyDescent="0.55000000000000004">
      <c r="A20" s="109" t="s">
        <v>0</v>
      </c>
      <c r="B20" s="109" t="s">
        <v>2</v>
      </c>
      <c r="C20" s="109" t="s">
        <v>327</v>
      </c>
      <c r="D20" s="109" t="s">
        <v>328</v>
      </c>
      <c r="E20" s="107" t="s">
        <v>16</v>
      </c>
      <c r="F20" s="107" t="s">
        <v>609</v>
      </c>
      <c r="G20" s="66"/>
      <c r="H20" s="108" t="s">
        <v>669</v>
      </c>
      <c r="I20" s="111" t="s">
        <v>629</v>
      </c>
      <c r="J20" s="109" t="s">
        <v>657</v>
      </c>
      <c r="K20" s="111" t="s">
        <v>630</v>
      </c>
      <c r="L20" s="108" t="s">
        <v>761</v>
      </c>
      <c r="M20" s="111" t="s">
        <v>663</v>
      </c>
      <c r="N20" s="107" t="s">
        <v>628</v>
      </c>
      <c r="P20" s="108" t="s">
        <v>671</v>
      </c>
      <c r="Q20" s="108" t="s">
        <v>623</v>
      </c>
      <c r="R20" s="108" t="s">
        <v>624</v>
      </c>
      <c r="S20" s="107" t="s">
        <v>625</v>
      </c>
      <c r="T20" s="111" t="s">
        <v>582</v>
      </c>
      <c r="U20" s="66"/>
      <c r="V20" s="109" t="s">
        <v>619</v>
      </c>
      <c r="W20" s="108" t="s">
        <v>621</v>
      </c>
      <c r="X20" s="108" t="s">
        <v>622</v>
      </c>
      <c r="Z20" s="21" t="s">
        <v>685</v>
      </c>
      <c r="AA20" s="109" t="s">
        <v>615</v>
      </c>
      <c r="AB20" s="109" t="s">
        <v>616</v>
      </c>
      <c r="AC20" s="109" t="s">
        <v>647</v>
      </c>
      <c r="AD20" s="112" t="s">
        <v>268</v>
      </c>
      <c r="AE20" s="112" t="s">
        <v>684</v>
      </c>
      <c r="AF20" s="112" t="s">
        <v>662</v>
      </c>
      <c r="AH20" s="107" t="s">
        <v>667</v>
      </c>
      <c r="AI20" s="107" t="s">
        <v>803</v>
      </c>
      <c r="AJ20" s="108" t="s">
        <v>672</v>
      </c>
      <c r="AL20" s="107" t="s">
        <v>674</v>
      </c>
      <c r="AM20" s="107" t="s">
        <v>678</v>
      </c>
      <c r="AN20" s="115" t="s">
        <v>802</v>
      </c>
      <c r="AO20" s="112" t="s">
        <v>662</v>
      </c>
      <c r="AP20" s="115" t="s">
        <v>675</v>
      </c>
      <c r="AQ20" s="108" t="s">
        <v>676</v>
      </c>
      <c r="AR20" s="107" t="s">
        <v>681</v>
      </c>
      <c r="AS20" s="107" t="s">
        <v>730</v>
      </c>
      <c r="AT20" s="107" t="s">
        <v>677</v>
      </c>
      <c r="AU20" s="108" t="s">
        <v>272</v>
      </c>
      <c r="AV20" s="108" t="s">
        <v>273</v>
      </c>
      <c r="AW20" s="66"/>
      <c r="AX20" s="114" t="s">
        <v>729</v>
      </c>
      <c r="AY20" s="66"/>
      <c r="AZ20" s="114" t="s">
        <v>668</v>
      </c>
      <c r="BB20" s="114" t="s">
        <v>682</v>
      </c>
      <c r="BD20" s="15" t="s">
        <v>664</v>
      </c>
      <c r="BF20" s="109" t="s">
        <v>618</v>
      </c>
      <c r="BG20" s="108" t="s">
        <v>623</v>
      </c>
      <c r="BH20" s="108" t="s">
        <v>624</v>
      </c>
      <c r="BI20" s="107" t="s">
        <v>625</v>
      </c>
      <c r="BJ20" s="111" t="s">
        <v>582</v>
      </c>
      <c r="BM20" s="110" t="s">
        <v>648</v>
      </c>
      <c r="BO20" s="21" t="s">
        <v>631</v>
      </c>
      <c r="BP20" s="108" t="s">
        <v>641</v>
      </c>
      <c r="BQ20" s="21" t="s">
        <v>632</v>
      </c>
      <c r="BR20" s="21" t="s">
        <v>633</v>
      </c>
      <c r="BS20" s="14" t="s">
        <v>634</v>
      </c>
      <c r="BT20" s="14" t="s">
        <v>651</v>
      </c>
      <c r="BU20" s="14" t="s">
        <v>652</v>
      </c>
      <c r="BV20" s="21" t="s">
        <v>635</v>
      </c>
      <c r="BW20" s="14" t="s">
        <v>636</v>
      </c>
      <c r="BX20" s="14" t="s">
        <v>651</v>
      </c>
      <c r="BY20" s="14" t="s">
        <v>652</v>
      </c>
      <c r="BZ20" s="21" t="s">
        <v>637</v>
      </c>
      <c r="CA20" s="110" t="s">
        <v>638</v>
      </c>
      <c r="CB20" s="14" t="s">
        <v>651</v>
      </c>
      <c r="CC20" s="14" t="s">
        <v>652</v>
      </c>
      <c r="CE20" s="21" t="s">
        <v>706</v>
      </c>
      <c r="CF20" s="21" t="s">
        <v>707</v>
      </c>
      <c r="CG20" s="21" t="s">
        <v>428</v>
      </c>
      <c r="CH20" s="14" t="s">
        <v>639</v>
      </c>
      <c r="CI20" s="21" t="s">
        <v>431</v>
      </c>
      <c r="CJ20" s="14" t="s">
        <v>640</v>
      </c>
      <c r="CK20" s="105" t="s">
        <v>187</v>
      </c>
      <c r="CM20" s="14" t="s">
        <v>649</v>
      </c>
      <c r="CN20" s="109" t="s">
        <v>617</v>
      </c>
      <c r="CO20" s="107" t="s">
        <v>628</v>
      </c>
      <c r="CP20" s="14" t="s">
        <v>650</v>
      </c>
      <c r="CQ20" s="105" t="s">
        <v>653</v>
      </c>
      <c r="CR20" s="109" t="str">
        <f t="shared" si="0"/>
        <v>일분 분양평단가</v>
      </c>
      <c r="CS20" s="109" t="str">
        <f t="shared" si="1"/>
        <v>조분 분양평단가(계산)</v>
      </c>
      <c r="CT20" s="14" t="s">
        <v>655</v>
      </c>
      <c r="CU20" s="14" t="s">
        <v>656</v>
      </c>
      <c r="CV20" s="14" t="s">
        <v>659</v>
      </c>
      <c r="CW20" s="110" t="s">
        <v>654</v>
      </c>
      <c r="CY20" s="110" t="s">
        <v>727</v>
      </c>
      <c r="CZ20" s="110" t="str">
        <f>+I20</f>
        <v>일반분양총액</v>
      </c>
      <c r="DA20" s="110" t="s">
        <v>728</v>
      </c>
      <c r="DB20" s="110" t="str">
        <f>+K20</f>
        <v>조합분양총액</v>
      </c>
      <c r="DD20" s="110" t="s">
        <v>648</v>
      </c>
      <c r="DF20" s="21" t="s">
        <v>685</v>
      </c>
      <c r="DG20" s="109" t="s">
        <v>615</v>
      </c>
      <c r="DH20" s="109" t="s">
        <v>616</v>
      </c>
      <c r="DI20" s="109" t="s">
        <v>647</v>
      </c>
      <c r="DJ20" s="125" t="s">
        <v>700</v>
      </c>
      <c r="DK20" s="112" t="s">
        <v>684</v>
      </c>
      <c r="DL20" s="112" t="s">
        <v>662</v>
      </c>
      <c r="DP20" s="66"/>
      <c r="DQ20" s="66"/>
      <c r="DR20" s="66"/>
      <c r="DS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</row>
    <row r="21" spans="1:161" x14ac:dyDescent="0.55000000000000004">
      <c r="A21" t="s">
        <v>1</v>
      </c>
      <c r="B21" t="s">
        <v>3</v>
      </c>
      <c r="C21" s="31">
        <v>45992</v>
      </c>
      <c r="D21" s="31" t="s">
        <v>329</v>
      </c>
      <c r="E21" s="118">
        <v>1414452.9500000002</v>
      </c>
      <c r="F21" s="118" t="s">
        <v>13</v>
      </c>
      <c r="G21" s="37"/>
      <c r="H21" s="3">
        <f t="shared" ref="H21:H42" si="2">+I21+K21+M21+N21</f>
        <v>21107999.999999996</v>
      </c>
      <c r="I21" s="4">
        <f t="shared" ref="I21:I42" si="3">+J21*CY21*0.3025</f>
        <v>2658697.1904832209</v>
      </c>
      <c r="J21">
        <v>85</v>
      </c>
      <c r="K21" s="4">
        <f t="shared" ref="K21:K42" si="4">+L21*DA21*0.3025</f>
        <v>17015568.309516776</v>
      </c>
      <c r="L21">
        <v>83</v>
      </c>
      <c r="M21" s="4">
        <f t="shared" ref="M21:M42" si="5">+CP21</f>
        <v>101095.5</v>
      </c>
      <c r="N21" s="3">
        <v>1332639</v>
      </c>
      <c r="P21" s="3">
        <f t="shared" ref="P21:P41" si="6">+Q21+R21</f>
        <v>5887500</v>
      </c>
      <c r="Q21" s="3">
        <f t="shared" ref="Q21:Q42" si="7">+T21*E21*0.3025</f>
        <v>4528846.153846154</v>
      </c>
      <c r="R21" s="3">
        <f>+Q21*S21</f>
        <v>1358653.8461538462</v>
      </c>
      <c r="S21" s="12">
        <f>+BI21</f>
        <v>0.3</v>
      </c>
      <c r="T21" s="39">
        <f>+BJ21</f>
        <v>10.584581299872516</v>
      </c>
      <c r="U21" s="10"/>
      <c r="V21" s="3">
        <v>24930400</v>
      </c>
      <c r="W21" s="3">
        <v>23069157</v>
      </c>
      <c r="X21" s="4">
        <f t="shared" ref="X21:X42" si="8">+V21-W21</f>
        <v>1861243</v>
      </c>
      <c r="Z21">
        <v>1</v>
      </c>
      <c r="AA21" s="79" t="s">
        <v>686</v>
      </c>
      <c r="AB21" s="122">
        <v>43</v>
      </c>
      <c r="AC21" s="122">
        <v>5063</v>
      </c>
      <c r="AD21" s="122">
        <v>6700</v>
      </c>
      <c r="AE21" s="60">
        <v>141</v>
      </c>
      <c r="AF21" s="31">
        <v>46160</v>
      </c>
      <c r="AH21" s="3">
        <f>+AR21*L21*0.3025</f>
        <v>2862.2550000000001</v>
      </c>
      <c r="AI21" s="3">
        <f>+J21*AR21*0.3025</f>
        <v>2931.2249999999999</v>
      </c>
      <c r="AJ21" s="13">
        <f t="shared" ref="AJ21:AJ42" si="9">+(H21-P21)/V21</f>
        <v>0.61051968680807356</v>
      </c>
      <c r="AL21" t="s">
        <v>679</v>
      </c>
      <c r="AM21" t="s">
        <v>680</v>
      </c>
      <c r="AN21">
        <v>6700</v>
      </c>
      <c r="AO21" s="31">
        <f t="shared" ref="AO21:AO42" si="10">+AF21</f>
        <v>46160</v>
      </c>
      <c r="AP21">
        <v>111.79</v>
      </c>
      <c r="AQ21">
        <f t="shared" ref="AQ21:AQ42" si="11">+AN21/(AP21*0.3025)</f>
        <v>198.1282791893596</v>
      </c>
      <c r="AR21">
        <v>114</v>
      </c>
      <c r="AS21" s="92">
        <v>0.2</v>
      </c>
      <c r="AT21" s="3">
        <f t="shared" ref="AT21:AT65" si="12">+AQ21*AR21*(1+AS21)*0.3025</f>
        <v>8198.9444494140789</v>
      </c>
      <c r="AU21">
        <f t="shared" ref="AU21:AU42" si="13">+AD21+AZ21</f>
        <v>6471.1938256907233</v>
      </c>
      <c r="AV21" s="4">
        <f>+AT21-AU21</f>
        <v>1727.7506237233556</v>
      </c>
      <c r="AZ21" s="4">
        <f>+AH21-(AC21*AJ21)</f>
        <v>-228.80617430927623</v>
      </c>
      <c r="BB21" s="13">
        <f t="shared" ref="BB21:BB42" si="14">+AV21/AU21</f>
        <v>0.26699101746329451</v>
      </c>
      <c r="BD21" s="15" t="s">
        <v>665</v>
      </c>
      <c r="BF21" s="3">
        <v>5887500</v>
      </c>
      <c r="BG21" s="3">
        <f t="shared" ref="BG21:BG42" si="15">+BF21/(1+BI21)</f>
        <v>4528846.153846154</v>
      </c>
      <c r="BH21" s="4">
        <f t="shared" ref="BH21:BH42" si="16">+BF21-BG21</f>
        <v>1358653.846153846</v>
      </c>
      <c r="BI21" s="10">
        <v>0.3</v>
      </c>
      <c r="BJ21" s="38">
        <f t="shared" ref="BJ21:BJ42" si="17">+BG21/(E21*0.3025)</f>
        <v>10.584581299872516</v>
      </c>
      <c r="BO21">
        <v>3934</v>
      </c>
      <c r="BP21">
        <f t="shared" ref="BP21:BP42" si="18">+BQ21-BO21</f>
        <v>600</v>
      </c>
      <c r="BQ21">
        <v>4534</v>
      </c>
      <c r="BR21">
        <v>522</v>
      </c>
      <c r="BS21" s="1">
        <v>80</v>
      </c>
      <c r="BT21">
        <f t="shared" ref="BT21:BT42" si="19">+ROUND(BR21*BO21/BQ21,0)</f>
        <v>453</v>
      </c>
      <c r="BU21">
        <f t="shared" ref="BU21:BU42" si="20">+BR21-BT21</f>
        <v>69</v>
      </c>
      <c r="BV21">
        <v>486</v>
      </c>
      <c r="BW21" s="22">
        <v>114</v>
      </c>
      <c r="BX21" s="22">
        <f t="shared" ref="BX21:BX42" si="21">+ROUND(BV21*BO21/BQ21,0)</f>
        <v>422</v>
      </c>
      <c r="BY21" s="22">
        <f t="shared" ref="BY21:BY42" si="22">+BV21-BX21</f>
        <v>64</v>
      </c>
      <c r="BZ21" s="22">
        <v>3526</v>
      </c>
      <c r="CA21" s="22">
        <f t="shared" ref="CA21:CA42" si="23">+CW21</f>
        <v>193.97207762771473</v>
      </c>
      <c r="CB21" s="22">
        <f t="shared" ref="CB21:CB42" si="24">+ROUND(BZ21*BO21/BQ21,0)</f>
        <v>3059</v>
      </c>
      <c r="CC21">
        <f t="shared" ref="CC21:CC42" si="25">+BZ21-CB21</f>
        <v>467</v>
      </c>
      <c r="CD21" s="1"/>
      <c r="CE21">
        <v>641</v>
      </c>
      <c r="CG21">
        <v>511</v>
      </c>
      <c r="CH21">
        <f t="shared" ref="CH21:CH42" si="26">+BS21</f>
        <v>80</v>
      </c>
      <c r="CI21">
        <v>130</v>
      </c>
      <c r="CJ21">
        <f t="shared" ref="CJ21:CJ42" si="27">+BW21</f>
        <v>114</v>
      </c>
      <c r="CK21">
        <f t="shared" ref="CK21:CK41" si="28">+BQ21+CE21+CF21</f>
        <v>5175</v>
      </c>
      <c r="CM21">
        <v>6</v>
      </c>
      <c r="CN21" s="4">
        <v>21108000</v>
      </c>
      <c r="CO21" s="4">
        <f t="shared" ref="CO21:CO42" si="29">+N21</f>
        <v>1332639</v>
      </c>
      <c r="CP21" s="3">
        <f t="shared" ref="CP21:CP42" si="30">+CM21*(CG21*CH21+CI21*CJ21)*0.3025</f>
        <v>101095.5</v>
      </c>
      <c r="CQ21" s="4">
        <f t="shared" ref="CQ21:CQ42" si="31">+CN21-CO21-CP21</f>
        <v>19674265.5</v>
      </c>
      <c r="CR21" s="66">
        <f t="shared" si="0"/>
        <v>85</v>
      </c>
      <c r="CS21" s="66">
        <f t="shared" si="1"/>
        <v>83</v>
      </c>
      <c r="CT21" s="4">
        <f t="shared" ref="CT21:CT42" si="32">+(CR21*BS21*BU21+CS21*BS21*BT21)*0.3025</f>
        <v>1051828.8</v>
      </c>
      <c r="CU21" s="4">
        <f t="shared" ref="CU21:CU42" si="33">+(CR21*BW21*BY21+CS21*BW21*BX21)*0.3025</f>
        <v>1395470.01</v>
      </c>
      <c r="CV21" s="4">
        <f t="shared" ref="CV21:CV42" si="34">+CQ21-CT21-CU21</f>
        <v>17226966.689999998</v>
      </c>
      <c r="CW21">
        <f t="shared" ref="CW21:CW42" si="35">+CV21/(CR21*CC21*0.3025+CS21*CB21*0.3025)</f>
        <v>193.97207762771473</v>
      </c>
      <c r="CY21">
        <f t="shared" ref="CY21:CY38" si="36">+(BS21*BU21+BW21*BY21+CA21*CC21)</f>
        <v>103400.96025214277</v>
      </c>
      <c r="CZ21" s="3">
        <f t="shared" ref="CZ21:CZ42" si="37">+CR21*(BS21*BU21+BW21*BY21+CA21*CC21)*0.3025</f>
        <v>2658697.1904832209</v>
      </c>
      <c r="DA21" s="3">
        <f t="shared" ref="DA21:DA38" si="38">+(BS21*BT21+BW21*BX21+CA21*CB21)</f>
        <v>677708.58546317939</v>
      </c>
      <c r="DB21" s="3">
        <f t="shared" ref="DB21:DB42" si="39">+CS21*(BS21*BT21+BW21*BX21+CA21*CB21)*0.3025</f>
        <v>17015568.309516776</v>
      </c>
      <c r="DG21" s="79"/>
      <c r="DH21" s="122"/>
      <c r="DI21" s="122"/>
      <c r="DJ21" s="60"/>
      <c r="DK21" s="60"/>
      <c r="DL21" s="31"/>
    </row>
    <row r="22" spans="1:161" x14ac:dyDescent="0.55000000000000004">
      <c r="A22" t="s">
        <v>1</v>
      </c>
      <c r="B22" t="s">
        <v>3</v>
      </c>
      <c r="C22" s="31">
        <v>45992</v>
      </c>
      <c r="D22" s="31" t="s">
        <v>329</v>
      </c>
      <c r="E22" s="119">
        <v>1414452.9500000002</v>
      </c>
      <c r="F22" s="119" t="s">
        <v>13</v>
      </c>
      <c r="G22" s="37"/>
      <c r="H22" s="3">
        <f t="shared" si="2"/>
        <v>21107999.999999996</v>
      </c>
      <c r="I22" s="4">
        <f t="shared" si="3"/>
        <v>2658697.1904832209</v>
      </c>
      <c r="J22">
        <v>85</v>
      </c>
      <c r="K22" s="4">
        <f t="shared" si="4"/>
        <v>17015568.309516776</v>
      </c>
      <c r="L22">
        <v>83</v>
      </c>
      <c r="M22" s="4">
        <f t="shared" si="5"/>
        <v>101095.5</v>
      </c>
      <c r="N22" s="3">
        <v>1332639</v>
      </c>
      <c r="P22" s="3">
        <f t="shared" si="6"/>
        <v>5887500</v>
      </c>
      <c r="Q22" s="3">
        <f t="shared" si="7"/>
        <v>4528846.153846154</v>
      </c>
      <c r="R22" s="3">
        <f t="shared" ref="R22:R42" si="40">+Q22*S22</f>
        <v>1358653.8461538462</v>
      </c>
      <c r="S22" s="12">
        <f t="shared" ref="S22:S42" si="41">+BI22</f>
        <v>0.3</v>
      </c>
      <c r="T22" s="39">
        <f t="shared" ref="T22:T41" si="42">+BJ22</f>
        <v>10.584581299872516</v>
      </c>
      <c r="U22" s="10"/>
      <c r="V22" s="3">
        <v>24930400</v>
      </c>
      <c r="W22" s="3">
        <v>23069157</v>
      </c>
      <c r="X22" s="4">
        <f t="shared" si="8"/>
        <v>1861243</v>
      </c>
      <c r="Z22">
        <v>2</v>
      </c>
      <c r="AA22" s="79" t="s">
        <v>686</v>
      </c>
      <c r="AB22" s="122">
        <v>53</v>
      </c>
      <c r="AC22" s="122">
        <v>7088</v>
      </c>
      <c r="AD22" s="122">
        <v>8866</v>
      </c>
      <c r="AE22" s="60">
        <v>172</v>
      </c>
      <c r="AF22" s="31">
        <v>46160</v>
      </c>
      <c r="AH22" s="3">
        <f>+AR22*L22*0.3025</f>
        <v>2862.2550000000001</v>
      </c>
      <c r="AI22" s="3">
        <f t="shared" ref="AI22:AI65" si="43">+J22*AR22*0.3025</f>
        <v>2931.2249999999999</v>
      </c>
      <c r="AJ22" s="13">
        <f t="shared" si="9"/>
        <v>0.61051968680807356</v>
      </c>
      <c r="AL22" t="s">
        <v>679</v>
      </c>
      <c r="AM22" t="s">
        <v>680</v>
      </c>
      <c r="AN22">
        <v>6700</v>
      </c>
      <c r="AO22" s="31">
        <f t="shared" si="10"/>
        <v>46160</v>
      </c>
      <c r="AP22">
        <v>111.79</v>
      </c>
      <c r="AQ22">
        <f t="shared" si="11"/>
        <v>198.1282791893596</v>
      </c>
      <c r="AR22">
        <v>114</v>
      </c>
      <c r="AS22" s="92">
        <v>0.2</v>
      </c>
      <c r="AT22" s="3">
        <f t="shared" si="12"/>
        <v>8198.9444494140789</v>
      </c>
      <c r="AU22">
        <f t="shared" si="13"/>
        <v>7400.8914599043746</v>
      </c>
      <c r="AV22">
        <f t="shared" ref="AV22:AV42" si="44">+AT22-AU22</f>
        <v>798.05298950970428</v>
      </c>
      <c r="AZ22" s="4">
        <f t="shared" ref="AZ21:AZ42" si="45">+AH22-(AC22*AJ22)</f>
        <v>-1465.1085400956254</v>
      </c>
      <c r="BB22" s="13">
        <f t="shared" si="14"/>
        <v>0.10783200832403719</v>
      </c>
      <c r="BD22" s="15" t="s">
        <v>665</v>
      </c>
      <c r="BF22" s="3">
        <v>5887500</v>
      </c>
      <c r="BG22" s="3">
        <f t="shared" si="15"/>
        <v>4528846.153846154</v>
      </c>
      <c r="BH22" s="4">
        <f t="shared" si="16"/>
        <v>1358653.846153846</v>
      </c>
      <c r="BI22" s="10">
        <v>0.3</v>
      </c>
      <c r="BJ22" s="38">
        <f t="shared" si="17"/>
        <v>10.584581299872516</v>
      </c>
      <c r="BO22">
        <v>3934</v>
      </c>
      <c r="BP22">
        <f t="shared" si="18"/>
        <v>600</v>
      </c>
      <c r="BQ22">
        <v>4534</v>
      </c>
      <c r="BR22">
        <v>522</v>
      </c>
      <c r="BS22" s="1">
        <v>80</v>
      </c>
      <c r="BT22">
        <f t="shared" si="19"/>
        <v>453</v>
      </c>
      <c r="BU22">
        <f t="shared" si="20"/>
        <v>69</v>
      </c>
      <c r="BV22">
        <v>486</v>
      </c>
      <c r="BW22" s="22">
        <v>114</v>
      </c>
      <c r="BX22" s="22">
        <f t="shared" si="21"/>
        <v>422</v>
      </c>
      <c r="BY22" s="22">
        <f t="shared" si="22"/>
        <v>64</v>
      </c>
      <c r="BZ22" s="22">
        <v>3526</v>
      </c>
      <c r="CA22" s="22">
        <f t="shared" si="23"/>
        <v>193.97207762771473</v>
      </c>
      <c r="CB22" s="22">
        <f t="shared" si="24"/>
        <v>3059</v>
      </c>
      <c r="CC22">
        <f t="shared" si="25"/>
        <v>467</v>
      </c>
      <c r="CD22" s="1"/>
      <c r="CE22">
        <v>641</v>
      </c>
      <c r="CG22">
        <v>511</v>
      </c>
      <c r="CH22">
        <f t="shared" si="26"/>
        <v>80</v>
      </c>
      <c r="CI22">
        <v>130</v>
      </c>
      <c r="CJ22">
        <f t="shared" si="27"/>
        <v>114</v>
      </c>
      <c r="CK22">
        <f t="shared" si="28"/>
        <v>5175</v>
      </c>
      <c r="CM22">
        <v>6</v>
      </c>
      <c r="CN22" s="4">
        <v>21108000</v>
      </c>
      <c r="CO22" s="4">
        <f t="shared" si="29"/>
        <v>1332639</v>
      </c>
      <c r="CP22" s="3">
        <f t="shared" si="30"/>
        <v>101095.5</v>
      </c>
      <c r="CQ22" s="4">
        <f t="shared" si="31"/>
        <v>19674265.5</v>
      </c>
      <c r="CR22" s="66">
        <f t="shared" si="0"/>
        <v>85</v>
      </c>
      <c r="CS22" s="66">
        <f t="shared" si="1"/>
        <v>83</v>
      </c>
      <c r="CT22" s="4">
        <f t="shared" si="32"/>
        <v>1051828.8</v>
      </c>
      <c r="CU22" s="4">
        <f t="shared" si="33"/>
        <v>1395470.01</v>
      </c>
      <c r="CV22" s="4">
        <f t="shared" si="34"/>
        <v>17226966.689999998</v>
      </c>
      <c r="CW22">
        <f t="shared" si="35"/>
        <v>193.97207762771473</v>
      </c>
      <c r="CY22">
        <f t="shared" si="36"/>
        <v>103400.96025214277</v>
      </c>
      <c r="CZ22" s="3">
        <f t="shared" si="37"/>
        <v>2658697.1904832209</v>
      </c>
      <c r="DA22" s="3">
        <f t="shared" si="38"/>
        <v>677708.58546317939</v>
      </c>
      <c r="DB22" s="3">
        <f t="shared" si="39"/>
        <v>17015568.309516776</v>
      </c>
      <c r="DG22" s="79"/>
      <c r="DH22" s="122"/>
      <c r="DI22" s="122"/>
      <c r="DJ22" s="60"/>
      <c r="DK22" s="60"/>
      <c r="DL22" s="31"/>
    </row>
    <row r="23" spans="1:161" x14ac:dyDescent="0.55000000000000004">
      <c r="A23" t="s">
        <v>1</v>
      </c>
      <c r="B23" t="s">
        <v>3</v>
      </c>
      <c r="C23" s="31">
        <v>45992</v>
      </c>
      <c r="D23" s="31" t="s">
        <v>329</v>
      </c>
      <c r="E23" s="119">
        <v>1414452.9500000002</v>
      </c>
      <c r="F23" s="119" t="s">
        <v>13</v>
      </c>
      <c r="G23" s="37"/>
      <c r="H23" s="3">
        <f t="shared" si="2"/>
        <v>21107999.999999996</v>
      </c>
      <c r="I23" s="4">
        <f t="shared" si="3"/>
        <v>2658697.1904832209</v>
      </c>
      <c r="J23">
        <v>85</v>
      </c>
      <c r="K23" s="4">
        <f t="shared" si="4"/>
        <v>17015568.309516776</v>
      </c>
      <c r="L23">
        <v>83</v>
      </c>
      <c r="M23" s="4">
        <f t="shared" si="5"/>
        <v>101095.5</v>
      </c>
      <c r="N23" s="3">
        <v>1332639</v>
      </c>
      <c r="P23" s="3">
        <f t="shared" si="6"/>
        <v>5887500</v>
      </c>
      <c r="Q23" s="3">
        <f t="shared" si="7"/>
        <v>4528846.153846154</v>
      </c>
      <c r="R23" s="3">
        <f t="shared" si="40"/>
        <v>1358653.8461538462</v>
      </c>
      <c r="S23" s="12">
        <f t="shared" si="41"/>
        <v>0.3</v>
      </c>
      <c r="T23" s="39">
        <f t="shared" si="42"/>
        <v>10.584581299872516</v>
      </c>
      <c r="U23" s="10"/>
      <c r="V23" s="3">
        <v>24930400</v>
      </c>
      <c r="W23" s="3">
        <v>23069157</v>
      </c>
      <c r="X23" s="4">
        <f t="shared" si="8"/>
        <v>1861243</v>
      </c>
      <c r="Z23">
        <v>3</v>
      </c>
      <c r="AA23" s="79" t="s">
        <v>686</v>
      </c>
      <c r="AB23" s="122">
        <v>54</v>
      </c>
      <c r="AC23" s="122">
        <v>6928</v>
      </c>
      <c r="AD23" s="122">
        <v>8166</v>
      </c>
      <c r="AE23" s="60">
        <v>176</v>
      </c>
      <c r="AF23" s="31">
        <v>46160</v>
      </c>
      <c r="AH23" s="3">
        <f>+AR23*L23*0.3025</f>
        <v>2862.2550000000001</v>
      </c>
      <c r="AI23" s="3">
        <f t="shared" si="43"/>
        <v>2931.2249999999999</v>
      </c>
      <c r="AJ23" s="13">
        <f t="shared" si="9"/>
        <v>0.61051968680807356</v>
      </c>
      <c r="AL23" t="s">
        <v>679</v>
      </c>
      <c r="AM23" t="s">
        <v>680</v>
      </c>
      <c r="AN23">
        <v>6700</v>
      </c>
      <c r="AO23" s="31">
        <f t="shared" si="10"/>
        <v>46160</v>
      </c>
      <c r="AP23">
        <v>111.79</v>
      </c>
      <c r="AQ23">
        <f t="shared" si="11"/>
        <v>198.1282791893596</v>
      </c>
      <c r="AR23">
        <v>114</v>
      </c>
      <c r="AS23" s="92">
        <v>0.2</v>
      </c>
      <c r="AT23" s="3">
        <f t="shared" si="12"/>
        <v>8198.9444494140789</v>
      </c>
      <c r="AU23">
        <f t="shared" si="13"/>
        <v>6798.5746097936662</v>
      </c>
      <c r="AV23">
        <f t="shared" si="44"/>
        <v>1400.3698396204127</v>
      </c>
      <c r="AZ23" s="4">
        <f t="shared" si="45"/>
        <v>-1367.4253902063338</v>
      </c>
      <c r="BB23" s="13">
        <f t="shared" si="14"/>
        <v>0.2059799178497084</v>
      </c>
      <c r="BD23" s="15" t="s">
        <v>665</v>
      </c>
      <c r="BF23" s="3">
        <v>5887500</v>
      </c>
      <c r="BG23" s="3">
        <f t="shared" si="15"/>
        <v>4528846.153846154</v>
      </c>
      <c r="BH23" s="4">
        <f t="shared" si="16"/>
        <v>1358653.846153846</v>
      </c>
      <c r="BI23" s="10">
        <v>0.3</v>
      </c>
      <c r="BJ23" s="38">
        <f t="shared" si="17"/>
        <v>10.584581299872516</v>
      </c>
      <c r="BO23">
        <v>3934</v>
      </c>
      <c r="BP23">
        <f t="shared" si="18"/>
        <v>600</v>
      </c>
      <c r="BQ23">
        <v>4534</v>
      </c>
      <c r="BR23">
        <v>522</v>
      </c>
      <c r="BS23" s="1">
        <v>80</v>
      </c>
      <c r="BT23">
        <f t="shared" si="19"/>
        <v>453</v>
      </c>
      <c r="BU23">
        <f t="shared" si="20"/>
        <v>69</v>
      </c>
      <c r="BV23">
        <v>486</v>
      </c>
      <c r="BW23" s="22">
        <v>114</v>
      </c>
      <c r="BX23" s="22">
        <f t="shared" si="21"/>
        <v>422</v>
      </c>
      <c r="BY23" s="22">
        <f t="shared" si="22"/>
        <v>64</v>
      </c>
      <c r="BZ23" s="22">
        <v>3526</v>
      </c>
      <c r="CA23" s="22">
        <f t="shared" si="23"/>
        <v>193.97207762771473</v>
      </c>
      <c r="CB23" s="22">
        <f t="shared" si="24"/>
        <v>3059</v>
      </c>
      <c r="CC23">
        <f t="shared" si="25"/>
        <v>467</v>
      </c>
      <c r="CD23" s="1"/>
      <c r="CE23">
        <v>641</v>
      </c>
      <c r="CG23">
        <v>511</v>
      </c>
      <c r="CH23">
        <f t="shared" si="26"/>
        <v>80</v>
      </c>
      <c r="CI23">
        <v>130</v>
      </c>
      <c r="CJ23">
        <f t="shared" si="27"/>
        <v>114</v>
      </c>
      <c r="CK23">
        <f t="shared" si="28"/>
        <v>5175</v>
      </c>
      <c r="CM23">
        <v>6</v>
      </c>
      <c r="CN23" s="4">
        <v>21108000</v>
      </c>
      <c r="CO23" s="4">
        <f t="shared" si="29"/>
        <v>1332639</v>
      </c>
      <c r="CP23" s="3">
        <f t="shared" si="30"/>
        <v>101095.5</v>
      </c>
      <c r="CQ23" s="4">
        <f t="shared" si="31"/>
        <v>19674265.5</v>
      </c>
      <c r="CR23" s="66">
        <f t="shared" si="0"/>
        <v>85</v>
      </c>
      <c r="CS23" s="66">
        <f t="shared" si="1"/>
        <v>83</v>
      </c>
      <c r="CT23" s="4">
        <f t="shared" si="32"/>
        <v>1051828.8</v>
      </c>
      <c r="CU23" s="4">
        <f t="shared" si="33"/>
        <v>1395470.01</v>
      </c>
      <c r="CV23" s="4">
        <f t="shared" si="34"/>
        <v>17226966.689999998</v>
      </c>
      <c r="CW23">
        <f t="shared" si="35"/>
        <v>193.97207762771473</v>
      </c>
      <c r="CY23">
        <f t="shared" si="36"/>
        <v>103400.96025214277</v>
      </c>
      <c r="CZ23" s="3">
        <f t="shared" si="37"/>
        <v>2658697.1904832209</v>
      </c>
      <c r="DA23" s="3">
        <f t="shared" si="38"/>
        <v>677708.58546317939</v>
      </c>
      <c r="DB23" s="3">
        <f t="shared" si="39"/>
        <v>17015568.309516776</v>
      </c>
      <c r="DG23" s="79"/>
      <c r="DH23" s="122"/>
      <c r="DI23" s="122"/>
      <c r="DJ23" s="60"/>
      <c r="DK23" s="60"/>
      <c r="DL23" s="31"/>
    </row>
    <row r="24" spans="1:161" x14ac:dyDescent="0.55000000000000004">
      <c r="A24" t="s">
        <v>1</v>
      </c>
      <c r="B24" t="s">
        <v>3</v>
      </c>
      <c r="C24" s="31">
        <v>45992</v>
      </c>
      <c r="D24" s="31" t="s">
        <v>329</v>
      </c>
      <c r="E24" s="119">
        <v>1414452.9500000002</v>
      </c>
      <c r="F24" s="119" t="s">
        <v>13</v>
      </c>
      <c r="G24" s="37"/>
      <c r="H24" s="3">
        <f t="shared" si="2"/>
        <v>21107999.999999996</v>
      </c>
      <c r="I24" s="4">
        <f t="shared" si="3"/>
        <v>2658697.1904832209</v>
      </c>
      <c r="J24">
        <v>85</v>
      </c>
      <c r="K24" s="4">
        <f t="shared" si="4"/>
        <v>17015568.309516776</v>
      </c>
      <c r="L24">
        <v>83</v>
      </c>
      <c r="M24" s="4">
        <f t="shared" si="5"/>
        <v>101095.5</v>
      </c>
      <c r="N24" s="3">
        <v>1332639</v>
      </c>
      <c r="P24" s="3">
        <f t="shared" si="6"/>
        <v>5887500</v>
      </c>
      <c r="Q24" s="3">
        <f t="shared" si="7"/>
        <v>4528846.153846154</v>
      </c>
      <c r="R24" s="3">
        <f t="shared" si="40"/>
        <v>1358653.8461538462</v>
      </c>
      <c r="S24" s="12">
        <f t="shared" si="41"/>
        <v>0.3</v>
      </c>
      <c r="T24" s="39">
        <f t="shared" si="42"/>
        <v>10.584581299872516</v>
      </c>
      <c r="U24" s="10"/>
      <c r="V24" s="3">
        <v>24930400</v>
      </c>
      <c r="W24" s="3">
        <v>23069157</v>
      </c>
      <c r="X24" s="4">
        <f t="shared" si="8"/>
        <v>1861243</v>
      </c>
      <c r="Z24">
        <v>4</v>
      </c>
      <c r="AA24" s="79" t="s">
        <v>686</v>
      </c>
      <c r="AB24" s="122">
        <v>65</v>
      </c>
      <c r="AC24" s="122">
        <v>8328</v>
      </c>
      <c r="AD24" s="122">
        <v>10666</v>
      </c>
      <c r="AE24" s="60">
        <v>211</v>
      </c>
      <c r="AF24" s="31">
        <v>46160</v>
      </c>
      <c r="AH24" s="3">
        <f>+AR24*L24*0.3025</f>
        <v>2862.2550000000001</v>
      </c>
      <c r="AI24" s="3">
        <f t="shared" si="43"/>
        <v>2931.2249999999999</v>
      </c>
      <c r="AJ24" s="13">
        <f t="shared" si="9"/>
        <v>0.61051968680807356</v>
      </c>
      <c r="AL24" t="s">
        <v>679</v>
      </c>
      <c r="AM24" t="s">
        <v>680</v>
      </c>
      <c r="AN24">
        <v>6700</v>
      </c>
      <c r="AO24" s="31">
        <f t="shared" si="10"/>
        <v>46160</v>
      </c>
      <c r="AP24">
        <v>111.79</v>
      </c>
      <c r="AQ24">
        <f t="shared" si="11"/>
        <v>198.1282791893596</v>
      </c>
      <c r="AR24">
        <v>114</v>
      </c>
      <c r="AS24" s="92">
        <v>0.2</v>
      </c>
      <c r="AT24" s="3">
        <f t="shared" si="12"/>
        <v>8198.9444494140789</v>
      </c>
      <c r="AU24">
        <f t="shared" si="13"/>
        <v>8443.8470482623634</v>
      </c>
      <c r="AV24">
        <f t="shared" si="44"/>
        <v>-244.90259884828447</v>
      </c>
      <c r="AZ24" s="4">
        <f t="shared" si="45"/>
        <v>-2222.1529517376366</v>
      </c>
      <c r="BB24" s="13">
        <f t="shared" si="14"/>
        <v>-2.9003675392093028E-2</v>
      </c>
      <c r="BD24" s="15" t="s">
        <v>665</v>
      </c>
      <c r="BF24" s="3">
        <v>5887500</v>
      </c>
      <c r="BG24" s="3">
        <f t="shared" si="15"/>
        <v>4528846.153846154</v>
      </c>
      <c r="BH24" s="4">
        <f t="shared" si="16"/>
        <v>1358653.846153846</v>
      </c>
      <c r="BI24" s="10">
        <v>0.3</v>
      </c>
      <c r="BJ24" s="38">
        <f t="shared" si="17"/>
        <v>10.584581299872516</v>
      </c>
      <c r="BO24">
        <v>3934</v>
      </c>
      <c r="BP24">
        <f t="shared" si="18"/>
        <v>600</v>
      </c>
      <c r="BQ24">
        <v>4534</v>
      </c>
      <c r="BR24">
        <v>522</v>
      </c>
      <c r="BS24" s="1">
        <v>80</v>
      </c>
      <c r="BT24">
        <f t="shared" si="19"/>
        <v>453</v>
      </c>
      <c r="BU24">
        <f t="shared" si="20"/>
        <v>69</v>
      </c>
      <c r="BV24">
        <v>486</v>
      </c>
      <c r="BW24" s="22">
        <v>114</v>
      </c>
      <c r="BX24" s="22">
        <f t="shared" si="21"/>
        <v>422</v>
      </c>
      <c r="BY24" s="22">
        <f t="shared" si="22"/>
        <v>64</v>
      </c>
      <c r="BZ24" s="22">
        <v>3526</v>
      </c>
      <c r="CA24" s="22">
        <f t="shared" si="23"/>
        <v>193.97207762771473</v>
      </c>
      <c r="CB24" s="22">
        <f t="shared" si="24"/>
        <v>3059</v>
      </c>
      <c r="CC24">
        <f t="shared" si="25"/>
        <v>467</v>
      </c>
      <c r="CD24" s="1"/>
      <c r="CE24">
        <v>641</v>
      </c>
      <c r="CG24">
        <v>511</v>
      </c>
      <c r="CH24">
        <f t="shared" si="26"/>
        <v>80</v>
      </c>
      <c r="CI24">
        <v>130</v>
      </c>
      <c r="CJ24">
        <f t="shared" si="27"/>
        <v>114</v>
      </c>
      <c r="CK24">
        <f t="shared" si="28"/>
        <v>5175</v>
      </c>
      <c r="CM24">
        <v>6</v>
      </c>
      <c r="CN24" s="4">
        <v>21108000</v>
      </c>
      <c r="CO24" s="4">
        <f t="shared" si="29"/>
        <v>1332639</v>
      </c>
      <c r="CP24" s="3">
        <f t="shared" si="30"/>
        <v>101095.5</v>
      </c>
      <c r="CQ24" s="4">
        <f t="shared" si="31"/>
        <v>19674265.5</v>
      </c>
      <c r="CR24" s="66">
        <f t="shared" si="0"/>
        <v>85</v>
      </c>
      <c r="CS24" s="66">
        <f t="shared" si="1"/>
        <v>83</v>
      </c>
      <c r="CT24" s="4">
        <f t="shared" si="32"/>
        <v>1051828.8</v>
      </c>
      <c r="CU24" s="4">
        <f t="shared" si="33"/>
        <v>1395470.01</v>
      </c>
      <c r="CV24" s="4">
        <f t="shared" si="34"/>
        <v>17226966.689999998</v>
      </c>
      <c r="CW24">
        <f t="shared" si="35"/>
        <v>193.97207762771473</v>
      </c>
      <c r="CY24">
        <f t="shared" si="36"/>
        <v>103400.96025214277</v>
      </c>
      <c r="CZ24" s="3">
        <f t="shared" si="37"/>
        <v>2658697.1904832209</v>
      </c>
      <c r="DA24" s="3">
        <f t="shared" si="38"/>
        <v>677708.58546317939</v>
      </c>
      <c r="DB24" s="3">
        <f t="shared" si="39"/>
        <v>17015568.309516776</v>
      </c>
      <c r="DG24" s="79"/>
      <c r="DH24" s="122"/>
      <c r="DI24" s="122"/>
      <c r="DJ24" s="60"/>
      <c r="DK24" s="60"/>
      <c r="DL24" s="31"/>
    </row>
    <row r="25" spans="1:161" x14ac:dyDescent="0.55000000000000004">
      <c r="A25" t="s">
        <v>1</v>
      </c>
      <c r="B25" t="s">
        <v>3</v>
      </c>
      <c r="C25" s="31">
        <v>45992</v>
      </c>
      <c r="D25" s="31" t="s">
        <v>329</v>
      </c>
      <c r="E25" s="118">
        <v>1414452.9500000002</v>
      </c>
      <c r="F25" s="118" t="s">
        <v>13</v>
      </c>
      <c r="G25" s="37"/>
      <c r="H25" s="3">
        <f t="shared" si="2"/>
        <v>21107999.999999996</v>
      </c>
      <c r="I25" s="4">
        <f t="shared" si="3"/>
        <v>2658697.1904832209</v>
      </c>
      <c r="J25">
        <v>85</v>
      </c>
      <c r="K25" s="4">
        <f t="shared" si="4"/>
        <v>17015568.309516776</v>
      </c>
      <c r="L25">
        <v>83</v>
      </c>
      <c r="M25" s="4">
        <f t="shared" si="5"/>
        <v>101095.5</v>
      </c>
      <c r="N25" s="3">
        <v>1332639</v>
      </c>
      <c r="P25" s="3">
        <f t="shared" si="6"/>
        <v>5887500</v>
      </c>
      <c r="Q25" s="3">
        <f t="shared" si="7"/>
        <v>4528846.153846154</v>
      </c>
      <c r="R25" s="3">
        <f t="shared" si="40"/>
        <v>1358653.8461538462</v>
      </c>
      <c r="S25" s="12">
        <f t="shared" si="41"/>
        <v>0.3</v>
      </c>
      <c r="T25" s="39">
        <f t="shared" si="42"/>
        <v>10.584581299872516</v>
      </c>
      <c r="U25" s="10"/>
      <c r="V25" s="3">
        <v>24930400</v>
      </c>
      <c r="W25" s="3">
        <v>23069157</v>
      </c>
      <c r="X25" s="4">
        <f t="shared" si="8"/>
        <v>1861243</v>
      </c>
      <c r="Z25">
        <v>5</v>
      </c>
      <c r="AA25" s="79" t="s">
        <v>687</v>
      </c>
      <c r="AB25" s="122">
        <v>33</v>
      </c>
      <c r="AC25" s="122">
        <v>4091</v>
      </c>
      <c r="AD25" s="122">
        <v>5150</v>
      </c>
      <c r="AE25" s="60">
        <v>108</v>
      </c>
      <c r="AF25" s="31">
        <v>46160</v>
      </c>
      <c r="AH25" s="3">
        <f>+AR25*L25*0.3025</f>
        <v>2862.2550000000001</v>
      </c>
      <c r="AI25" s="3">
        <f t="shared" si="43"/>
        <v>2931.2249999999999</v>
      </c>
      <c r="AJ25" s="13">
        <f t="shared" si="9"/>
        <v>0.61051968680807356</v>
      </c>
      <c r="AL25" t="s">
        <v>679</v>
      </c>
      <c r="AM25" t="s">
        <v>680</v>
      </c>
      <c r="AN25">
        <v>6700</v>
      </c>
      <c r="AO25" s="31">
        <f t="shared" si="10"/>
        <v>46160</v>
      </c>
      <c r="AP25">
        <v>111.79</v>
      </c>
      <c r="AQ25">
        <f t="shared" si="11"/>
        <v>198.1282791893596</v>
      </c>
      <c r="AR25">
        <v>114</v>
      </c>
      <c r="AS25" s="92">
        <v>0.2</v>
      </c>
      <c r="AT25" s="3">
        <f t="shared" si="12"/>
        <v>8198.9444494140789</v>
      </c>
      <c r="AU25">
        <f t="shared" si="13"/>
        <v>5514.618961268171</v>
      </c>
      <c r="AV25">
        <f t="shared" si="44"/>
        <v>2684.3254881459079</v>
      </c>
      <c r="AZ25" s="4">
        <f t="shared" si="45"/>
        <v>364.61896126817101</v>
      </c>
      <c r="BB25" s="13">
        <f t="shared" si="14"/>
        <v>0.48676536076186233</v>
      </c>
      <c r="BD25" s="15" t="s">
        <v>665</v>
      </c>
      <c r="BF25" s="3">
        <v>5887500</v>
      </c>
      <c r="BG25" s="3">
        <f t="shared" si="15"/>
        <v>4528846.153846154</v>
      </c>
      <c r="BH25" s="4">
        <f t="shared" si="16"/>
        <v>1358653.846153846</v>
      </c>
      <c r="BI25" s="10">
        <v>0.3</v>
      </c>
      <c r="BJ25" s="38">
        <f t="shared" si="17"/>
        <v>10.584581299872516</v>
      </c>
      <c r="BO25">
        <v>3934</v>
      </c>
      <c r="BP25">
        <f t="shared" si="18"/>
        <v>600</v>
      </c>
      <c r="BQ25">
        <v>4534</v>
      </c>
      <c r="BR25">
        <v>522</v>
      </c>
      <c r="BS25" s="1">
        <v>80</v>
      </c>
      <c r="BT25">
        <f t="shared" si="19"/>
        <v>453</v>
      </c>
      <c r="BU25">
        <f t="shared" si="20"/>
        <v>69</v>
      </c>
      <c r="BV25">
        <v>486</v>
      </c>
      <c r="BW25" s="22">
        <v>114</v>
      </c>
      <c r="BX25" s="22">
        <f t="shared" si="21"/>
        <v>422</v>
      </c>
      <c r="BY25" s="22">
        <f t="shared" si="22"/>
        <v>64</v>
      </c>
      <c r="BZ25" s="22">
        <v>3526</v>
      </c>
      <c r="CA25" s="22">
        <f t="shared" si="23"/>
        <v>193.97207762771473</v>
      </c>
      <c r="CB25" s="22">
        <f t="shared" si="24"/>
        <v>3059</v>
      </c>
      <c r="CC25">
        <f t="shared" si="25"/>
        <v>467</v>
      </c>
      <c r="CD25" s="1"/>
      <c r="CE25">
        <v>641</v>
      </c>
      <c r="CG25">
        <v>511</v>
      </c>
      <c r="CH25">
        <f t="shared" si="26"/>
        <v>80</v>
      </c>
      <c r="CI25">
        <v>130</v>
      </c>
      <c r="CJ25">
        <f t="shared" si="27"/>
        <v>114</v>
      </c>
      <c r="CK25">
        <f t="shared" si="28"/>
        <v>5175</v>
      </c>
      <c r="CM25">
        <v>6</v>
      </c>
      <c r="CN25" s="4">
        <v>21108000</v>
      </c>
      <c r="CO25" s="4">
        <f t="shared" si="29"/>
        <v>1332639</v>
      </c>
      <c r="CP25" s="3">
        <f t="shared" si="30"/>
        <v>101095.5</v>
      </c>
      <c r="CQ25" s="4">
        <f t="shared" si="31"/>
        <v>19674265.5</v>
      </c>
      <c r="CR25" s="66">
        <f t="shared" si="0"/>
        <v>85</v>
      </c>
      <c r="CS25" s="66">
        <f t="shared" si="1"/>
        <v>83</v>
      </c>
      <c r="CT25" s="4">
        <f t="shared" si="32"/>
        <v>1051828.8</v>
      </c>
      <c r="CU25" s="4">
        <f t="shared" si="33"/>
        <v>1395470.01</v>
      </c>
      <c r="CV25" s="4">
        <f t="shared" si="34"/>
        <v>17226966.689999998</v>
      </c>
      <c r="CW25">
        <f t="shared" si="35"/>
        <v>193.97207762771473</v>
      </c>
      <c r="CY25">
        <f t="shared" si="36"/>
        <v>103400.96025214277</v>
      </c>
      <c r="CZ25" s="3">
        <f t="shared" si="37"/>
        <v>2658697.1904832209</v>
      </c>
      <c r="DA25" s="3">
        <f t="shared" si="38"/>
        <v>677708.58546317939</v>
      </c>
      <c r="DB25" s="3">
        <f t="shared" si="39"/>
        <v>17015568.309516776</v>
      </c>
      <c r="DG25" s="79"/>
      <c r="DH25" s="122"/>
      <c r="DI25" s="122"/>
      <c r="DJ25" s="60"/>
      <c r="DK25" s="60"/>
      <c r="DL25" s="31"/>
    </row>
    <row r="26" spans="1:161" x14ac:dyDescent="0.55000000000000004">
      <c r="A26" t="s">
        <v>1</v>
      </c>
      <c r="B26" t="s">
        <v>3</v>
      </c>
      <c r="C26" s="31">
        <v>45992</v>
      </c>
      <c r="D26" s="31" t="s">
        <v>329</v>
      </c>
      <c r="E26" s="119">
        <v>1414452.9500000002</v>
      </c>
      <c r="F26" s="119" t="s">
        <v>13</v>
      </c>
      <c r="G26" s="37"/>
      <c r="H26" s="3">
        <f t="shared" si="2"/>
        <v>21107999.999999996</v>
      </c>
      <c r="I26" s="4">
        <f t="shared" si="3"/>
        <v>2658697.1904832209</v>
      </c>
      <c r="J26">
        <v>85</v>
      </c>
      <c r="K26" s="4">
        <f t="shared" si="4"/>
        <v>17015568.309516776</v>
      </c>
      <c r="L26">
        <v>83</v>
      </c>
      <c r="M26" s="4">
        <f t="shared" si="5"/>
        <v>101095.5</v>
      </c>
      <c r="N26" s="3">
        <v>1332639</v>
      </c>
      <c r="P26" s="3">
        <f t="shared" si="6"/>
        <v>5887500</v>
      </c>
      <c r="Q26" s="3">
        <f t="shared" si="7"/>
        <v>4528846.153846154</v>
      </c>
      <c r="R26" s="3">
        <f t="shared" si="40"/>
        <v>1358653.8461538462</v>
      </c>
      <c r="S26" s="12">
        <f t="shared" si="41"/>
        <v>0.3</v>
      </c>
      <c r="T26" s="39">
        <f t="shared" si="42"/>
        <v>10.584581299872516</v>
      </c>
      <c r="U26" s="10"/>
      <c r="V26" s="3">
        <v>24930400</v>
      </c>
      <c r="W26" s="3">
        <v>23069157</v>
      </c>
      <c r="X26" s="4">
        <f t="shared" si="8"/>
        <v>1861243</v>
      </c>
      <c r="Z26">
        <v>6</v>
      </c>
      <c r="AA26" s="79" t="s">
        <v>688</v>
      </c>
      <c r="AB26" s="122">
        <v>44</v>
      </c>
      <c r="AC26" s="122">
        <v>5989</v>
      </c>
      <c r="AD26" s="122">
        <v>7300</v>
      </c>
      <c r="AE26" s="60">
        <v>140</v>
      </c>
      <c r="AF26" s="31">
        <v>46160</v>
      </c>
      <c r="AH26" s="3">
        <f>+AR26*L26*0.3025</f>
        <v>2862.2550000000001</v>
      </c>
      <c r="AI26" s="3">
        <f t="shared" si="43"/>
        <v>2931.2249999999999</v>
      </c>
      <c r="AJ26" s="13">
        <f t="shared" si="9"/>
        <v>0.61051968680807356</v>
      </c>
      <c r="AL26" t="s">
        <v>679</v>
      </c>
      <c r="AM26" t="s">
        <v>680</v>
      </c>
      <c r="AN26">
        <v>6700</v>
      </c>
      <c r="AO26" s="31">
        <f t="shared" si="10"/>
        <v>46160</v>
      </c>
      <c r="AP26">
        <v>111.79</v>
      </c>
      <c r="AQ26">
        <f t="shared" si="11"/>
        <v>198.1282791893596</v>
      </c>
      <c r="AR26">
        <v>114</v>
      </c>
      <c r="AS26" s="92">
        <v>0.2</v>
      </c>
      <c r="AT26" s="3">
        <f t="shared" si="12"/>
        <v>8198.9444494140789</v>
      </c>
      <c r="AU26">
        <f t="shared" si="13"/>
        <v>6505.8525957064476</v>
      </c>
      <c r="AV26">
        <f t="shared" si="44"/>
        <v>1693.0918537076313</v>
      </c>
      <c r="AZ26" s="4">
        <f t="shared" si="45"/>
        <v>-794.14740429355243</v>
      </c>
      <c r="BB26" s="13">
        <f t="shared" si="14"/>
        <v>0.26024134866273962</v>
      </c>
      <c r="BD26" s="15" t="s">
        <v>665</v>
      </c>
      <c r="BF26" s="3">
        <v>5887500</v>
      </c>
      <c r="BG26" s="3">
        <f t="shared" si="15"/>
        <v>4528846.153846154</v>
      </c>
      <c r="BH26" s="4">
        <f t="shared" si="16"/>
        <v>1358653.846153846</v>
      </c>
      <c r="BI26" s="10">
        <v>0.3</v>
      </c>
      <c r="BJ26" s="38">
        <f t="shared" si="17"/>
        <v>10.584581299872516</v>
      </c>
      <c r="BO26">
        <v>3934</v>
      </c>
      <c r="BP26">
        <f t="shared" si="18"/>
        <v>600</v>
      </c>
      <c r="BQ26">
        <v>4534</v>
      </c>
      <c r="BR26">
        <v>522</v>
      </c>
      <c r="BS26" s="1">
        <v>80</v>
      </c>
      <c r="BT26">
        <f t="shared" si="19"/>
        <v>453</v>
      </c>
      <c r="BU26">
        <f t="shared" si="20"/>
        <v>69</v>
      </c>
      <c r="BV26">
        <v>486</v>
      </c>
      <c r="BW26" s="22">
        <v>114</v>
      </c>
      <c r="BX26" s="22">
        <f t="shared" si="21"/>
        <v>422</v>
      </c>
      <c r="BY26" s="22">
        <f t="shared" si="22"/>
        <v>64</v>
      </c>
      <c r="BZ26" s="22">
        <v>3526</v>
      </c>
      <c r="CA26" s="22">
        <f t="shared" si="23"/>
        <v>193.97207762771473</v>
      </c>
      <c r="CB26" s="22">
        <f t="shared" si="24"/>
        <v>3059</v>
      </c>
      <c r="CC26">
        <f t="shared" si="25"/>
        <v>467</v>
      </c>
      <c r="CD26" s="1"/>
      <c r="CE26">
        <v>641</v>
      </c>
      <c r="CG26">
        <v>511</v>
      </c>
      <c r="CH26">
        <f t="shared" si="26"/>
        <v>80</v>
      </c>
      <c r="CI26">
        <v>130</v>
      </c>
      <c r="CJ26">
        <f t="shared" si="27"/>
        <v>114</v>
      </c>
      <c r="CK26">
        <f t="shared" si="28"/>
        <v>5175</v>
      </c>
      <c r="CM26">
        <v>6</v>
      </c>
      <c r="CN26" s="4">
        <v>21108000</v>
      </c>
      <c r="CO26" s="4">
        <f t="shared" si="29"/>
        <v>1332639</v>
      </c>
      <c r="CP26" s="3">
        <f t="shared" si="30"/>
        <v>101095.5</v>
      </c>
      <c r="CQ26" s="4">
        <f t="shared" si="31"/>
        <v>19674265.5</v>
      </c>
      <c r="CR26" s="66">
        <f t="shared" si="0"/>
        <v>85</v>
      </c>
      <c r="CS26" s="66">
        <f t="shared" si="1"/>
        <v>83</v>
      </c>
      <c r="CT26" s="4">
        <f t="shared" si="32"/>
        <v>1051828.8</v>
      </c>
      <c r="CU26" s="4">
        <f t="shared" si="33"/>
        <v>1395470.01</v>
      </c>
      <c r="CV26" s="4">
        <f t="shared" si="34"/>
        <v>17226966.689999998</v>
      </c>
      <c r="CW26">
        <f t="shared" si="35"/>
        <v>193.97207762771473</v>
      </c>
      <c r="CY26">
        <f t="shared" si="36"/>
        <v>103400.96025214277</v>
      </c>
      <c r="CZ26" s="3">
        <f t="shared" si="37"/>
        <v>2658697.1904832209</v>
      </c>
      <c r="DA26" s="3">
        <f t="shared" si="38"/>
        <v>677708.58546317939</v>
      </c>
      <c r="DB26" s="3">
        <f t="shared" si="39"/>
        <v>17015568.309516776</v>
      </c>
      <c r="DG26" s="79"/>
      <c r="DH26" s="122"/>
      <c r="DI26" s="122"/>
      <c r="DJ26" s="123"/>
      <c r="DK26" s="123"/>
      <c r="DL26" s="31"/>
    </row>
    <row r="27" spans="1:161" x14ac:dyDescent="0.55000000000000004">
      <c r="A27" t="s">
        <v>1</v>
      </c>
      <c r="B27" t="s">
        <v>3</v>
      </c>
      <c r="C27" s="31">
        <v>45992</v>
      </c>
      <c r="D27" s="31" t="s">
        <v>329</v>
      </c>
      <c r="E27" s="119">
        <v>1414452.9500000002</v>
      </c>
      <c r="F27" s="119" t="s">
        <v>13</v>
      </c>
      <c r="G27" s="37"/>
      <c r="H27" s="3">
        <f t="shared" si="2"/>
        <v>21107999.999999996</v>
      </c>
      <c r="I27" s="4">
        <f t="shared" si="3"/>
        <v>2658697.1904832209</v>
      </c>
      <c r="J27">
        <v>85</v>
      </c>
      <c r="K27" s="4">
        <f t="shared" si="4"/>
        <v>17015568.309516776</v>
      </c>
      <c r="L27">
        <v>83</v>
      </c>
      <c r="M27" s="4">
        <f t="shared" si="5"/>
        <v>101095.5</v>
      </c>
      <c r="N27" s="3">
        <v>1332639</v>
      </c>
      <c r="P27" s="3">
        <f t="shared" si="6"/>
        <v>5887500</v>
      </c>
      <c r="Q27" s="3">
        <f t="shared" si="7"/>
        <v>4528846.153846154</v>
      </c>
      <c r="R27" s="3">
        <f t="shared" si="40"/>
        <v>1358653.8461538462</v>
      </c>
      <c r="S27" s="12">
        <f t="shared" si="41"/>
        <v>0.3</v>
      </c>
      <c r="T27" s="39">
        <f t="shared" si="42"/>
        <v>10.584581299872516</v>
      </c>
      <c r="U27" s="10"/>
      <c r="V27" s="3">
        <v>24930400</v>
      </c>
      <c r="W27" s="3">
        <v>23069157</v>
      </c>
      <c r="X27" s="4">
        <f t="shared" si="8"/>
        <v>1861243</v>
      </c>
      <c r="Z27">
        <v>7</v>
      </c>
      <c r="AA27" s="79" t="s">
        <v>689</v>
      </c>
      <c r="AB27" s="122">
        <v>35</v>
      </c>
      <c r="AC27" s="122">
        <v>4259</v>
      </c>
      <c r="AD27" s="122">
        <v>6100</v>
      </c>
      <c r="AE27" s="60">
        <v>113</v>
      </c>
      <c r="AF27" s="31">
        <v>46160</v>
      </c>
      <c r="AH27" s="3">
        <f>+AR27*L27*0.3025</f>
        <v>2862.2550000000001</v>
      </c>
      <c r="AI27" s="3">
        <f t="shared" si="43"/>
        <v>2931.2249999999999</v>
      </c>
      <c r="AJ27" s="13">
        <f t="shared" si="9"/>
        <v>0.61051968680807356</v>
      </c>
      <c r="AL27" t="s">
        <v>679</v>
      </c>
      <c r="AM27" t="s">
        <v>680</v>
      </c>
      <c r="AN27">
        <v>6700</v>
      </c>
      <c r="AO27" s="31">
        <f t="shared" si="10"/>
        <v>46160</v>
      </c>
      <c r="AP27">
        <v>111.79</v>
      </c>
      <c r="AQ27">
        <f t="shared" si="11"/>
        <v>198.1282791893596</v>
      </c>
      <c r="AR27">
        <v>114</v>
      </c>
      <c r="AS27" s="92">
        <v>0.2</v>
      </c>
      <c r="AT27" s="3">
        <f t="shared" si="12"/>
        <v>8198.9444494140789</v>
      </c>
      <c r="AU27">
        <f t="shared" si="13"/>
        <v>6362.0516538844149</v>
      </c>
      <c r="AV27">
        <f t="shared" si="44"/>
        <v>1836.892795529664</v>
      </c>
      <c r="AZ27" s="4">
        <f t="shared" si="45"/>
        <v>262.05165388441492</v>
      </c>
      <c r="BB27" s="13">
        <f t="shared" si="14"/>
        <v>0.28872648250319227</v>
      </c>
      <c r="BD27" s="15" t="s">
        <v>665</v>
      </c>
      <c r="BF27" s="3">
        <v>5887500</v>
      </c>
      <c r="BG27" s="3">
        <f t="shared" si="15"/>
        <v>4528846.153846154</v>
      </c>
      <c r="BH27" s="4">
        <f t="shared" si="16"/>
        <v>1358653.846153846</v>
      </c>
      <c r="BI27" s="10">
        <v>0.3</v>
      </c>
      <c r="BJ27" s="38">
        <f t="shared" si="17"/>
        <v>10.584581299872516</v>
      </c>
      <c r="BO27">
        <v>3934</v>
      </c>
      <c r="BP27">
        <f t="shared" si="18"/>
        <v>600</v>
      </c>
      <c r="BQ27">
        <v>4534</v>
      </c>
      <c r="BR27">
        <v>522</v>
      </c>
      <c r="BS27" s="1">
        <v>80</v>
      </c>
      <c r="BT27">
        <f t="shared" si="19"/>
        <v>453</v>
      </c>
      <c r="BU27">
        <f t="shared" si="20"/>
        <v>69</v>
      </c>
      <c r="BV27">
        <v>486</v>
      </c>
      <c r="BW27" s="22">
        <v>114</v>
      </c>
      <c r="BX27" s="22">
        <f t="shared" si="21"/>
        <v>422</v>
      </c>
      <c r="BY27" s="22">
        <f t="shared" si="22"/>
        <v>64</v>
      </c>
      <c r="BZ27" s="22">
        <v>3526</v>
      </c>
      <c r="CA27" s="22">
        <f t="shared" si="23"/>
        <v>193.97207762771473</v>
      </c>
      <c r="CB27" s="22">
        <f t="shared" si="24"/>
        <v>3059</v>
      </c>
      <c r="CC27">
        <f t="shared" si="25"/>
        <v>467</v>
      </c>
      <c r="CD27" s="1"/>
      <c r="CE27">
        <v>641</v>
      </c>
      <c r="CG27">
        <v>511</v>
      </c>
      <c r="CH27">
        <f t="shared" si="26"/>
        <v>80</v>
      </c>
      <c r="CI27">
        <v>130</v>
      </c>
      <c r="CJ27">
        <f t="shared" si="27"/>
        <v>114</v>
      </c>
      <c r="CK27">
        <f t="shared" si="28"/>
        <v>5175</v>
      </c>
      <c r="CM27">
        <v>6</v>
      </c>
      <c r="CN27" s="4">
        <v>21108000</v>
      </c>
      <c r="CO27" s="4">
        <f t="shared" si="29"/>
        <v>1332639</v>
      </c>
      <c r="CP27" s="3">
        <f t="shared" si="30"/>
        <v>101095.5</v>
      </c>
      <c r="CQ27" s="4">
        <f t="shared" si="31"/>
        <v>19674265.5</v>
      </c>
      <c r="CR27" s="66">
        <f t="shared" si="0"/>
        <v>85</v>
      </c>
      <c r="CS27" s="66">
        <f t="shared" si="1"/>
        <v>83</v>
      </c>
      <c r="CT27" s="4">
        <f t="shared" si="32"/>
        <v>1051828.8</v>
      </c>
      <c r="CU27" s="4">
        <f t="shared" si="33"/>
        <v>1395470.01</v>
      </c>
      <c r="CV27" s="4">
        <f t="shared" si="34"/>
        <v>17226966.689999998</v>
      </c>
      <c r="CW27">
        <f t="shared" si="35"/>
        <v>193.97207762771473</v>
      </c>
      <c r="CY27">
        <f t="shared" si="36"/>
        <v>103400.96025214277</v>
      </c>
      <c r="CZ27" s="3">
        <f t="shared" si="37"/>
        <v>2658697.1904832209</v>
      </c>
      <c r="DA27" s="3">
        <f t="shared" si="38"/>
        <v>677708.58546317939</v>
      </c>
      <c r="DB27" s="3">
        <f t="shared" si="39"/>
        <v>17015568.309516776</v>
      </c>
      <c r="DG27" s="79"/>
      <c r="DH27" s="122"/>
      <c r="DI27" s="122"/>
      <c r="DJ27" s="123"/>
      <c r="DK27" s="123"/>
      <c r="DL27" s="31"/>
    </row>
    <row r="28" spans="1:161" x14ac:dyDescent="0.55000000000000004">
      <c r="A28" t="s">
        <v>1</v>
      </c>
      <c r="B28" t="s">
        <v>3</v>
      </c>
      <c r="C28" s="31">
        <v>45992</v>
      </c>
      <c r="D28" s="31" t="s">
        <v>329</v>
      </c>
      <c r="E28" s="119">
        <v>1414452.9500000002</v>
      </c>
      <c r="F28" s="119" t="s">
        <v>13</v>
      </c>
      <c r="G28" s="37"/>
      <c r="H28" s="3">
        <f t="shared" si="2"/>
        <v>21107999.999999996</v>
      </c>
      <c r="I28" s="4">
        <f t="shared" si="3"/>
        <v>2658697.1904832209</v>
      </c>
      <c r="J28">
        <v>85</v>
      </c>
      <c r="K28" s="4">
        <f t="shared" si="4"/>
        <v>17015568.309516776</v>
      </c>
      <c r="L28">
        <v>83</v>
      </c>
      <c r="M28" s="4">
        <f t="shared" si="5"/>
        <v>101095.5</v>
      </c>
      <c r="N28" s="3">
        <v>1332639</v>
      </c>
      <c r="P28" s="3">
        <f t="shared" si="6"/>
        <v>5887500</v>
      </c>
      <c r="Q28" s="3">
        <f t="shared" si="7"/>
        <v>4528846.153846154</v>
      </c>
      <c r="R28" s="3">
        <f t="shared" si="40"/>
        <v>1358653.8461538462</v>
      </c>
      <c r="S28" s="12">
        <f t="shared" si="41"/>
        <v>0.3</v>
      </c>
      <c r="T28" s="39">
        <f t="shared" si="42"/>
        <v>10.584581299872516</v>
      </c>
      <c r="U28" s="10"/>
      <c r="V28" s="3">
        <v>24930400</v>
      </c>
      <c r="W28" s="3">
        <v>23069157</v>
      </c>
      <c r="X28" s="4">
        <f t="shared" si="8"/>
        <v>1861243</v>
      </c>
      <c r="Z28">
        <v>8</v>
      </c>
      <c r="AA28" s="79" t="s">
        <v>690</v>
      </c>
      <c r="AB28" s="122">
        <v>48</v>
      </c>
      <c r="AC28" s="122">
        <v>5798</v>
      </c>
      <c r="AD28" s="122">
        <v>7400</v>
      </c>
      <c r="AE28" s="60">
        <v>156</v>
      </c>
      <c r="AF28" s="31">
        <v>46160</v>
      </c>
      <c r="AH28" s="3">
        <f>+AR28*L28*0.3025</f>
        <v>2862.2550000000001</v>
      </c>
      <c r="AI28" s="3">
        <f t="shared" si="43"/>
        <v>2931.2249999999999</v>
      </c>
      <c r="AJ28" s="13">
        <f t="shared" si="9"/>
        <v>0.61051968680807356</v>
      </c>
      <c r="AL28" t="s">
        <v>679</v>
      </c>
      <c r="AM28" t="s">
        <v>680</v>
      </c>
      <c r="AN28">
        <v>6700</v>
      </c>
      <c r="AO28" s="31">
        <f t="shared" si="10"/>
        <v>46160</v>
      </c>
      <c r="AP28">
        <v>111.79</v>
      </c>
      <c r="AQ28">
        <f t="shared" si="11"/>
        <v>198.1282791893596</v>
      </c>
      <c r="AR28">
        <v>114</v>
      </c>
      <c r="AS28" s="92">
        <v>0.2</v>
      </c>
      <c r="AT28" s="3">
        <f t="shared" si="12"/>
        <v>8198.9444494140789</v>
      </c>
      <c r="AU28">
        <f t="shared" si="13"/>
        <v>6722.4618558867896</v>
      </c>
      <c r="AV28">
        <f t="shared" si="44"/>
        <v>1476.4825935272893</v>
      </c>
      <c r="AZ28" s="4">
        <f t="shared" si="45"/>
        <v>-677.53814411321036</v>
      </c>
      <c r="BB28" s="13">
        <f t="shared" si="14"/>
        <v>0.21963420918994861</v>
      </c>
      <c r="BD28" s="15" t="s">
        <v>665</v>
      </c>
      <c r="BF28" s="3">
        <v>5887500</v>
      </c>
      <c r="BG28" s="3">
        <f t="shared" si="15"/>
        <v>4528846.153846154</v>
      </c>
      <c r="BH28" s="4">
        <f t="shared" si="16"/>
        <v>1358653.846153846</v>
      </c>
      <c r="BI28" s="10">
        <v>0.3</v>
      </c>
      <c r="BJ28" s="38">
        <f t="shared" si="17"/>
        <v>10.584581299872516</v>
      </c>
      <c r="BO28">
        <v>3934</v>
      </c>
      <c r="BP28">
        <f t="shared" si="18"/>
        <v>600</v>
      </c>
      <c r="BQ28">
        <v>4534</v>
      </c>
      <c r="BR28">
        <v>522</v>
      </c>
      <c r="BS28" s="1">
        <v>80</v>
      </c>
      <c r="BT28">
        <f t="shared" si="19"/>
        <v>453</v>
      </c>
      <c r="BU28">
        <f t="shared" si="20"/>
        <v>69</v>
      </c>
      <c r="BV28">
        <v>486</v>
      </c>
      <c r="BW28" s="22">
        <v>114</v>
      </c>
      <c r="BX28" s="22">
        <f t="shared" si="21"/>
        <v>422</v>
      </c>
      <c r="BY28" s="22">
        <f t="shared" si="22"/>
        <v>64</v>
      </c>
      <c r="BZ28" s="22">
        <v>3526</v>
      </c>
      <c r="CA28" s="22">
        <f t="shared" si="23"/>
        <v>193.97207762771473</v>
      </c>
      <c r="CB28" s="22">
        <f t="shared" si="24"/>
        <v>3059</v>
      </c>
      <c r="CC28">
        <f t="shared" si="25"/>
        <v>467</v>
      </c>
      <c r="CD28" s="1"/>
      <c r="CE28">
        <v>641</v>
      </c>
      <c r="CG28">
        <v>511</v>
      </c>
      <c r="CH28">
        <f t="shared" si="26"/>
        <v>80</v>
      </c>
      <c r="CI28">
        <v>130</v>
      </c>
      <c r="CJ28">
        <f t="shared" si="27"/>
        <v>114</v>
      </c>
      <c r="CK28">
        <f t="shared" si="28"/>
        <v>5175</v>
      </c>
      <c r="CM28">
        <v>6</v>
      </c>
      <c r="CN28" s="4">
        <v>21108000</v>
      </c>
      <c r="CO28" s="4">
        <f t="shared" si="29"/>
        <v>1332639</v>
      </c>
      <c r="CP28" s="3">
        <f t="shared" si="30"/>
        <v>101095.5</v>
      </c>
      <c r="CQ28" s="4">
        <f t="shared" si="31"/>
        <v>19674265.5</v>
      </c>
      <c r="CR28" s="66">
        <f t="shared" si="0"/>
        <v>85</v>
      </c>
      <c r="CS28" s="66">
        <f t="shared" si="1"/>
        <v>83</v>
      </c>
      <c r="CT28" s="4">
        <f t="shared" si="32"/>
        <v>1051828.8</v>
      </c>
      <c r="CU28" s="4">
        <f t="shared" si="33"/>
        <v>1395470.01</v>
      </c>
      <c r="CV28" s="4">
        <f t="shared" si="34"/>
        <v>17226966.689999998</v>
      </c>
      <c r="CW28">
        <f t="shared" si="35"/>
        <v>193.97207762771473</v>
      </c>
      <c r="CY28">
        <f t="shared" si="36"/>
        <v>103400.96025214277</v>
      </c>
      <c r="CZ28" s="3">
        <f t="shared" si="37"/>
        <v>2658697.1904832209</v>
      </c>
      <c r="DA28" s="3">
        <f t="shared" si="38"/>
        <v>677708.58546317939</v>
      </c>
      <c r="DB28" s="3">
        <f t="shared" si="39"/>
        <v>17015568.309516776</v>
      </c>
      <c r="DG28" s="79"/>
      <c r="DH28" s="122"/>
      <c r="DI28" s="122"/>
      <c r="DJ28" s="123"/>
      <c r="DK28" s="123"/>
      <c r="DL28" s="31"/>
    </row>
    <row r="29" spans="1:161" x14ac:dyDescent="0.55000000000000004">
      <c r="A29" t="s">
        <v>1</v>
      </c>
      <c r="B29" t="s">
        <v>3</v>
      </c>
      <c r="C29" s="31">
        <v>45992</v>
      </c>
      <c r="D29" s="31" t="s">
        <v>329</v>
      </c>
      <c r="E29" s="118">
        <v>1414452.9500000002</v>
      </c>
      <c r="F29" s="118" t="s">
        <v>13</v>
      </c>
      <c r="G29" s="37"/>
      <c r="H29" s="3">
        <f t="shared" si="2"/>
        <v>21107999.999999996</v>
      </c>
      <c r="I29" s="4">
        <f t="shared" si="3"/>
        <v>2658697.1904832209</v>
      </c>
      <c r="J29">
        <v>85</v>
      </c>
      <c r="K29" s="4">
        <f t="shared" si="4"/>
        <v>17015568.309516776</v>
      </c>
      <c r="L29">
        <v>83</v>
      </c>
      <c r="M29" s="4">
        <f t="shared" si="5"/>
        <v>101095.5</v>
      </c>
      <c r="N29" s="3">
        <v>1332639</v>
      </c>
      <c r="P29" s="3">
        <f t="shared" si="6"/>
        <v>5887500</v>
      </c>
      <c r="Q29" s="3">
        <f t="shared" si="7"/>
        <v>4528846.153846154</v>
      </c>
      <c r="R29" s="3">
        <f t="shared" si="40"/>
        <v>1358653.8461538462</v>
      </c>
      <c r="S29" s="12">
        <f t="shared" si="41"/>
        <v>0.3</v>
      </c>
      <c r="T29" s="39">
        <f t="shared" si="42"/>
        <v>10.584581299872516</v>
      </c>
      <c r="U29" s="10"/>
      <c r="V29" s="3">
        <v>24930400</v>
      </c>
      <c r="W29" s="3">
        <v>23069157</v>
      </c>
      <c r="X29" s="4">
        <f t="shared" si="8"/>
        <v>1861243</v>
      </c>
      <c r="Z29">
        <v>9</v>
      </c>
      <c r="AA29" s="79" t="s">
        <v>690</v>
      </c>
      <c r="AB29" s="122">
        <v>53</v>
      </c>
      <c r="AC29" s="122">
        <v>6373</v>
      </c>
      <c r="AD29" s="122">
        <v>8366</v>
      </c>
      <c r="AE29" s="60">
        <v>170</v>
      </c>
      <c r="AF29" s="31">
        <v>46160</v>
      </c>
      <c r="AH29" s="3">
        <f>+AR29*L29*0.3025</f>
        <v>2862.2550000000001</v>
      </c>
      <c r="AI29" s="3">
        <f t="shared" si="43"/>
        <v>2931.2249999999999</v>
      </c>
      <c r="AJ29" s="13">
        <f t="shared" si="9"/>
        <v>0.61051968680807356</v>
      </c>
      <c r="AL29" t="s">
        <v>679</v>
      </c>
      <c r="AM29" t="s">
        <v>680</v>
      </c>
      <c r="AN29">
        <v>6700</v>
      </c>
      <c r="AO29" s="31">
        <f t="shared" si="10"/>
        <v>46160</v>
      </c>
      <c r="AP29">
        <v>111.79</v>
      </c>
      <c r="AQ29">
        <f t="shared" si="11"/>
        <v>198.1282791893596</v>
      </c>
      <c r="AR29">
        <v>114</v>
      </c>
      <c r="AS29" s="92">
        <v>0.2</v>
      </c>
      <c r="AT29" s="3">
        <f t="shared" si="12"/>
        <v>8198.9444494140789</v>
      </c>
      <c r="AU29">
        <f t="shared" si="13"/>
        <v>7337.4130359721476</v>
      </c>
      <c r="AV29">
        <f t="shared" si="44"/>
        <v>861.53141344193136</v>
      </c>
      <c r="AZ29" s="4">
        <f t="shared" si="45"/>
        <v>-1028.5869640278529</v>
      </c>
      <c r="BB29" s="13">
        <f t="shared" si="14"/>
        <v>0.11741623501610407</v>
      </c>
      <c r="BD29" s="15" t="s">
        <v>665</v>
      </c>
      <c r="BF29" s="3">
        <v>5887500</v>
      </c>
      <c r="BG29" s="3">
        <f t="shared" si="15"/>
        <v>4528846.153846154</v>
      </c>
      <c r="BH29" s="4">
        <f t="shared" si="16"/>
        <v>1358653.846153846</v>
      </c>
      <c r="BI29" s="10">
        <v>0.3</v>
      </c>
      <c r="BJ29" s="38">
        <f t="shared" si="17"/>
        <v>10.584581299872516</v>
      </c>
      <c r="BO29">
        <v>3934</v>
      </c>
      <c r="BP29">
        <f t="shared" si="18"/>
        <v>600</v>
      </c>
      <c r="BQ29">
        <v>4534</v>
      </c>
      <c r="BR29">
        <v>522</v>
      </c>
      <c r="BS29" s="1">
        <v>80</v>
      </c>
      <c r="BT29">
        <f t="shared" si="19"/>
        <v>453</v>
      </c>
      <c r="BU29">
        <f t="shared" si="20"/>
        <v>69</v>
      </c>
      <c r="BV29">
        <v>486</v>
      </c>
      <c r="BW29" s="22">
        <v>114</v>
      </c>
      <c r="BX29" s="22">
        <f t="shared" si="21"/>
        <v>422</v>
      </c>
      <c r="BY29" s="22">
        <f t="shared" si="22"/>
        <v>64</v>
      </c>
      <c r="BZ29" s="22">
        <v>3526</v>
      </c>
      <c r="CA29" s="22">
        <f t="shared" si="23"/>
        <v>193.97207762771473</v>
      </c>
      <c r="CB29" s="22">
        <f t="shared" si="24"/>
        <v>3059</v>
      </c>
      <c r="CC29">
        <f t="shared" si="25"/>
        <v>467</v>
      </c>
      <c r="CD29" s="1"/>
      <c r="CE29">
        <v>641</v>
      </c>
      <c r="CG29">
        <v>511</v>
      </c>
      <c r="CH29">
        <f t="shared" si="26"/>
        <v>80</v>
      </c>
      <c r="CI29">
        <v>130</v>
      </c>
      <c r="CJ29">
        <f t="shared" si="27"/>
        <v>114</v>
      </c>
      <c r="CK29">
        <f t="shared" si="28"/>
        <v>5175</v>
      </c>
      <c r="CM29">
        <v>6</v>
      </c>
      <c r="CN29" s="4">
        <v>21108000</v>
      </c>
      <c r="CO29" s="4">
        <f t="shared" si="29"/>
        <v>1332639</v>
      </c>
      <c r="CP29" s="3">
        <f t="shared" si="30"/>
        <v>101095.5</v>
      </c>
      <c r="CQ29" s="4">
        <f t="shared" si="31"/>
        <v>19674265.5</v>
      </c>
      <c r="CR29" s="66">
        <f t="shared" si="0"/>
        <v>85</v>
      </c>
      <c r="CS29" s="66">
        <f t="shared" si="1"/>
        <v>83</v>
      </c>
      <c r="CT29" s="4">
        <f t="shared" si="32"/>
        <v>1051828.8</v>
      </c>
      <c r="CU29" s="4">
        <f t="shared" si="33"/>
        <v>1395470.01</v>
      </c>
      <c r="CV29" s="4">
        <f t="shared" si="34"/>
        <v>17226966.689999998</v>
      </c>
      <c r="CW29">
        <f t="shared" si="35"/>
        <v>193.97207762771473</v>
      </c>
      <c r="CY29">
        <f t="shared" si="36"/>
        <v>103400.96025214277</v>
      </c>
      <c r="CZ29" s="3">
        <f t="shared" si="37"/>
        <v>2658697.1904832209</v>
      </c>
      <c r="DA29" s="3">
        <f t="shared" si="38"/>
        <v>677708.58546317939</v>
      </c>
      <c r="DB29" s="3">
        <f t="shared" si="39"/>
        <v>17015568.309516776</v>
      </c>
      <c r="DG29" s="79"/>
      <c r="DH29" s="122"/>
      <c r="DI29" s="122"/>
      <c r="DJ29" s="123"/>
      <c r="DK29" s="123"/>
      <c r="DL29" s="31"/>
    </row>
    <row r="30" spans="1:161" x14ac:dyDescent="0.55000000000000004">
      <c r="A30" t="s">
        <v>1</v>
      </c>
      <c r="B30" t="s">
        <v>3</v>
      </c>
      <c r="C30" s="31">
        <v>45992</v>
      </c>
      <c r="D30" s="31" t="s">
        <v>329</v>
      </c>
      <c r="E30" s="119">
        <v>1414452.9500000002</v>
      </c>
      <c r="F30" s="119" t="s">
        <v>13</v>
      </c>
      <c r="G30" s="37"/>
      <c r="H30" s="3">
        <f t="shared" si="2"/>
        <v>21107999.999999996</v>
      </c>
      <c r="I30" s="4">
        <f t="shared" si="3"/>
        <v>2658697.1904832209</v>
      </c>
      <c r="J30">
        <v>85</v>
      </c>
      <c r="K30" s="4">
        <f t="shared" si="4"/>
        <v>17015568.309516776</v>
      </c>
      <c r="L30">
        <v>83</v>
      </c>
      <c r="M30" s="4">
        <f t="shared" si="5"/>
        <v>101095.5</v>
      </c>
      <c r="N30" s="3">
        <v>1332639</v>
      </c>
      <c r="P30" s="3">
        <f t="shared" si="6"/>
        <v>5887500</v>
      </c>
      <c r="Q30" s="3">
        <f t="shared" si="7"/>
        <v>4528846.153846154</v>
      </c>
      <c r="R30" s="3">
        <f t="shared" si="40"/>
        <v>1358653.8461538462</v>
      </c>
      <c r="S30" s="12">
        <f t="shared" si="41"/>
        <v>0.3</v>
      </c>
      <c r="T30" s="39">
        <f t="shared" si="42"/>
        <v>10.584581299872516</v>
      </c>
      <c r="U30" s="10"/>
      <c r="V30" s="3">
        <v>24930400</v>
      </c>
      <c r="W30" s="3">
        <v>23069157</v>
      </c>
      <c r="X30" s="4">
        <f t="shared" si="8"/>
        <v>1861243</v>
      </c>
      <c r="Z30">
        <v>10</v>
      </c>
      <c r="AA30" s="79" t="s">
        <v>690</v>
      </c>
      <c r="AB30" s="122">
        <v>65</v>
      </c>
      <c r="AC30" s="122">
        <v>7979</v>
      </c>
      <c r="AD30" s="122">
        <v>9800</v>
      </c>
      <c r="AE30" s="60">
        <v>212</v>
      </c>
      <c r="AF30" s="31">
        <v>46160</v>
      </c>
      <c r="AH30" s="3">
        <f>+AR30*L30*0.3025</f>
        <v>2862.2550000000001</v>
      </c>
      <c r="AI30" s="3">
        <f t="shared" si="43"/>
        <v>2931.2249999999999</v>
      </c>
      <c r="AJ30" s="13">
        <f t="shared" si="9"/>
        <v>0.61051968680807356</v>
      </c>
      <c r="AL30" t="s">
        <v>679</v>
      </c>
      <c r="AM30" t="s">
        <v>680</v>
      </c>
      <c r="AN30">
        <v>6700</v>
      </c>
      <c r="AO30" s="31">
        <f t="shared" si="10"/>
        <v>46160</v>
      </c>
      <c r="AP30">
        <v>111.79</v>
      </c>
      <c r="AQ30">
        <f t="shared" si="11"/>
        <v>198.1282791893596</v>
      </c>
      <c r="AR30">
        <v>114</v>
      </c>
      <c r="AS30" s="92">
        <v>0.2</v>
      </c>
      <c r="AT30" s="3">
        <f t="shared" si="12"/>
        <v>8198.9444494140789</v>
      </c>
      <c r="AU30">
        <f t="shared" si="13"/>
        <v>7790.9184189583812</v>
      </c>
      <c r="AV30">
        <f t="shared" si="44"/>
        <v>408.02603045569776</v>
      </c>
      <c r="AZ30" s="4">
        <f t="shared" si="45"/>
        <v>-2009.0815810416188</v>
      </c>
      <c r="BB30" s="13">
        <f t="shared" si="14"/>
        <v>5.2372006548394773E-2</v>
      </c>
      <c r="BD30" s="15" t="s">
        <v>665</v>
      </c>
      <c r="BF30" s="3">
        <v>5887500</v>
      </c>
      <c r="BG30" s="3">
        <f t="shared" si="15"/>
        <v>4528846.153846154</v>
      </c>
      <c r="BH30" s="4">
        <f t="shared" si="16"/>
        <v>1358653.846153846</v>
      </c>
      <c r="BI30" s="10">
        <v>0.3</v>
      </c>
      <c r="BJ30" s="38">
        <f t="shared" si="17"/>
        <v>10.584581299872516</v>
      </c>
      <c r="BO30">
        <v>3934</v>
      </c>
      <c r="BP30">
        <f t="shared" si="18"/>
        <v>600</v>
      </c>
      <c r="BQ30">
        <v>4534</v>
      </c>
      <c r="BR30">
        <v>522</v>
      </c>
      <c r="BS30" s="1">
        <v>80</v>
      </c>
      <c r="BT30">
        <f t="shared" si="19"/>
        <v>453</v>
      </c>
      <c r="BU30">
        <f t="shared" si="20"/>
        <v>69</v>
      </c>
      <c r="BV30">
        <v>486</v>
      </c>
      <c r="BW30" s="22">
        <v>114</v>
      </c>
      <c r="BX30" s="22">
        <f t="shared" si="21"/>
        <v>422</v>
      </c>
      <c r="BY30" s="22">
        <f t="shared" si="22"/>
        <v>64</v>
      </c>
      <c r="BZ30" s="22">
        <v>3526</v>
      </c>
      <c r="CA30" s="22">
        <f t="shared" si="23"/>
        <v>193.97207762771473</v>
      </c>
      <c r="CB30" s="22">
        <f t="shared" si="24"/>
        <v>3059</v>
      </c>
      <c r="CC30">
        <f t="shared" si="25"/>
        <v>467</v>
      </c>
      <c r="CD30" s="1"/>
      <c r="CE30">
        <v>641</v>
      </c>
      <c r="CG30">
        <v>511</v>
      </c>
      <c r="CH30">
        <f t="shared" si="26"/>
        <v>80</v>
      </c>
      <c r="CI30">
        <v>130</v>
      </c>
      <c r="CJ30">
        <f t="shared" si="27"/>
        <v>114</v>
      </c>
      <c r="CK30">
        <f t="shared" si="28"/>
        <v>5175</v>
      </c>
      <c r="CM30">
        <v>6</v>
      </c>
      <c r="CN30" s="4">
        <v>21108000</v>
      </c>
      <c r="CO30" s="4">
        <f t="shared" si="29"/>
        <v>1332639</v>
      </c>
      <c r="CP30" s="3">
        <f t="shared" si="30"/>
        <v>101095.5</v>
      </c>
      <c r="CQ30" s="4">
        <f t="shared" si="31"/>
        <v>19674265.5</v>
      </c>
      <c r="CR30" s="66">
        <f t="shared" si="0"/>
        <v>85</v>
      </c>
      <c r="CS30" s="66">
        <f t="shared" si="1"/>
        <v>83</v>
      </c>
      <c r="CT30" s="4">
        <f t="shared" si="32"/>
        <v>1051828.8</v>
      </c>
      <c r="CU30" s="4">
        <f t="shared" si="33"/>
        <v>1395470.01</v>
      </c>
      <c r="CV30" s="4">
        <f t="shared" si="34"/>
        <v>17226966.689999998</v>
      </c>
      <c r="CW30">
        <f t="shared" si="35"/>
        <v>193.97207762771473</v>
      </c>
      <c r="CY30">
        <f t="shared" si="36"/>
        <v>103400.96025214277</v>
      </c>
      <c r="CZ30" s="3">
        <f t="shared" si="37"/>
        <v>2658697.1904832209</v>
      </c>
      <c r="DA30" s="3">
        <f t="shared" si="38"/>
        <v>677708.58546317939</v>
      </c>
      <c r="DB30" s="3">
        <f t="shared" si="39"/>
        <v>17015568.309516776</v>
      </c>
      <c r="DG30" s="79"/>
      <c r="DH30" s="122"/>
      <c r="DI30" s="122"/>
      <c r="DJ30" s="123"/>
      <c r="DK30" s="123"/>
      <c r="DL30" s="31"/>
    </row>
    <row r="31" spans="1:161" x14ac:dyDescent="0.55000000000000004">
      <c r="A31" t="s">
        <v>1</v>
      </c>
      <c r="B31" t="s">
        <v>3</v>
      </c>
      <c r="C31" s="31">
        <v>45992</v>
      </c>
      <c r="D31" s="31" t="s">
        <v>329</v>
      </c>
      <c r="E31" s="119">
        <v>1414452.9500000002</v>
      </c>
      <c r="F31" s="119" t="s">
        <v>13</v>
      </c>
      <c r="G31" s="37"/>
      <c r="H31" s="3">
        <f t="shared" si="2"/>
        <v>21107999.999999996</v>
      </c>
      <c r="I31" s="4">
        <f t="shared" si="3"/>
        <v>2658697.1904832209</v>
      </c>
      <c r="J31">
        <v>85</v>
      </c>
      <c r="K31" s="4">
        <f t="shared" si="4"/>
        <v>17015568.309516776</v>
      </c>
      <c r="L31">
        <v>83</v>
      </c>
      <c r="M31" s="4">
        <f t="shared" si="5"/>
        <v>101095.5</v>
      </c>
      <c r="N31" s="3">
        <v>1332639</v>
      </c>
      <c r="P31" s="3">
        <f t="shared" si="6"/>
        <v>5887500</v>
      </c>
      <c r="Q31" s="3">
        <f t="shared" si="7"/>
        <v>4528846.153846154</v>
      </c>
      <c r="R31" s="3">
        <f t="shared" si="40"/>
        <v>1358653.8461538462</v>
      </c>
      <c r="S31" s="12">
        <f t="shared" si="41"/>
        <v>0.3</v>
      </c>
      <c r="T31" s="39">
        <f t="shared" si="42"/>
        <v>10.584581299872516</v>
      </c>
      <c r="U31" s="10"/>
      <c r="V31" s="3">
        <v>24930400</v>
      </c>
      <c r="W31" s="3">
        <v>23069157</v>
      </c>
      <c r="X31" s="4">
        <f t="shared" si="8"/>
        <v>1861243</v>
      </c>
      <c r="Z31">
        <v>11</v>
      </c>
      <c r="AA31" s="79" t="s">
        <v>690</v>
      </c>
      <c r="AB31" s="122">
        <v>80</v>
      </c>
      <c r="AC31" s="122">
        <v>9995</v>
      </c>
      <c r="AD31" s="122">
        <v>12500</v>
      </c>
      <c r="AE31" s="60">
        <v>264</v>
      </c>
      <c r="AF31" s="31">
        <v>46160</v>
      </c>
      <c r="AH31" s="3">
        <f>+AR31*L31*0.3025</f>
        <v>2862.2550000000001</v>
      </c>
      <c r="AI31" s="3">
        <f t="shared" si="43"/>
        <v>2931.2249999999999</v>
      </c>
      <c r="AJ31" s="13">
        <f t="shared" si="9"/>
        <v>0.61051968680807356</v>
      </c>
      <c r="AL31" t="s">
        <v>679</v>
      </c>
      <c r="AM31" t="s">
        <v>680</v>
      </c>
      <c r="AN31">
        <v>6700</v>
      </c>
      <c r="AO31" s="31">
        <f t="shared" si="10"/>
        <v>46160</v>
      </c>
      <c r="AP31">
        <v>111.79</v>
      </c>
      <c r="AQ31">
        <f t="shared" si="11"/>
        <v>198.1282791893596</v>
      </c>
      <c r="AR31">
        <v>114</v>
      </c>
      <c r="AS31" s="92">
        <v>0.2</v>
      </c>
      <c r="AT31" s="3">
        <f t="shared" si="12"/>
        <v>8198.9444494140789</v>
      </c>
      <c r="AU31">
        <f t="shared" si="13"/>
        <v>9260.1107303533045</v>
      </c>
      <c r="AV31">
        <f t="shared" si="44"/>
        <v>-1061.1662809392255</v>
      </c>
      <c r="AZ31" s="4">
        <f t="shared" si="45"/>
        <v>-3239.8892696466955</v>
      </c>
      <c r="BB31" s="13">
        <f t="shared" si="14"/>
        <v>-0.11459542027514594</v>
      </c>
      <c r="BD31" s="15" t="s">
        <v>665</v>
      </c>
      <c r="BF31" s="3">
        <v>5887500</v>
      </c>
      <c r="BG31" s="3">
        <f t="shared" si="15"/>
        <v>4528846.153846154</v>
      </c>
      <c r="BH31" s="4">
        <f t="shared" si="16"/>
        <v>1358653.846153846</v>
      </c>
      <c r="BI31" s="10">
        <v>0.3</v>
      </c>
      <c r="BJ31" s="38">
        <f t="shared" si="17"/>
        <v>10.584581299872516</v>
      </c>
      <c r="BO31">
        <v>3934</v>
      </c>
      <c r="BP31">
        <f t="shared" si="18"/>
        <v>600</v>
      </c>
      <c r="BQ31">
        <v>4534</v>
      </c>
      <c r="BR31">
        <v>522</v>
      </c>
      <c r="BS31" s="1">
        <v>80</v>
      </c>
      <c r="BT31">
        <f t="shared" si="19"/>
        <v>453</v>
      </c>
      <c r="BU31">
        <f t="shared" si="20"/>
        <v>69</v>
      </c>
      <c r="BV31">
        <v>486</v>
      </c>
      <c r="BW31" s="22">
        <v>114</v>
      </c>
      <c r="BX31" s="22">
        <f t="shared" si="21"/>
        <v>422</v>
      </c>
      <c r="BY31" s="22">
        <f t="shared" si="22"/>
        <v>64</v>
      </c>
      <c r="BZ31" s="22">
        <v>3526</v>
      </c>
      <c r="CA31" s="22">
        <f t="shared" si="23"/>
        <v>193.97207762771473</v>
      </c>
      <c r="CB31" s="22">
        <f t="shared" si="24"/>
        <v>3059</v>
      </c>
      <c r="CC31">
        <f t="shared" si="25"/>
        <v>467</v>
      </c>
      <c r="CD31" s="1"/>
      <c r="CE31">
        <v>641</v>
      </c>
      <c r="CG31">
        <v>511</v>
      </c>
      <c r="CH31">
        <f t="shared" si="26"/>
        <v>80</v>
      </c>
      <c r="CI31">
        <v>130</v>
      </c>
      <c r="CJ31">
        <f t="shared" si="27"/>
        <v>114</v>
      </c>
      <c r="CK31">
        <f t="shared" si="28"/>
        <v>5175</v>
      </c>
      <c r="CM31">
        <v>6</v>
      </c>
      <c r="CN31" s="4">
        <v>21108000</v>
      </c>
      <c r="CO31" s="4">
        <f t="shared" si="29"/>
        <v>1332639</v>
      </c>
      <c r="CP31" s="3">
        <f t="shared" si="30"/>
        <v>101095.5</v>
      </c>
      <c r="CQ31" s="4">
        <f t="shared" si="31"/>
        <v>19674265.5</v>
      </c>
      <c r="CR31" s="66">
        <f t="shared" si="0"/>
        <v>85</v>
      </c>
      <c r="CS31" s="66">
        <f t="shared" si="1"/>
        <v>83</v>
      </c>
      <c r="CT31" s="4">
        <f t="shared" si="32"/>
        <v>1051828.8</v>
      </c>
      <c r="CU31" s="4">
        <f t="shared" si="33"/>
        <v>1395470.01</v>
      </c>
      <c r="CV31" s="4">
        <f t="shared" si="34"/>
        <v>17226966.689999998</v>
      </c>
      <c r="CW31">
        <f t="shared" si="35"/>
        <v>193.97207762771473</v>
      </c>
      <c r="CY31">
        <f t="shared" si="36"/>
        <v>103400.96025214277</v>
      </c>
      <c r="CZ31" s="3">
        <f t="shared" si="37"/>
        <v>2658697.1904832209</v>
      </c>
      <c r="DA31" s="3">
        <f t="shared" si="38"/>
        <v>677708.58546317939</v>
      </c>
      <c r="DB31" s="3">
        <f t="shared" si="39"/>
        <v>17015568.309516776</v>
      </c>
      <c r="DG31" s="79"/>
      <c r="DH31" s="122"/>
      <c r="DI31" s="122"/>
      <c r="DJ31" s="123"/>
      <c r="DK31" s="123"/>
      <c r="DL31" s="31"/>
    </row>
    <row r="32" spans="1:161" x14ac:dyDescent="0.55000000000000004">
      <c r="A32" t="s">
        <v>1</v>
      </c>
      <c r="B32" t="s">
        <v>3</v>
      </c>
      <c r="C32" s="31">
        <v>45992</v>
      </c>
      <c r="D32" s="31" t="s">
        <v>329</v>
      </c>
      <c r="E32" s="119">
        <v>1414452.9500000002</v>
      </c>
      <c r="F32" s="119" t="s">
        <v>13</v>
      </c>
      <c r="G32" s="37"/>
      <c r="H32" s="3">
        <f t="shared" si="2"/>
        <v>21107999.999999996</v>
      </c>
      <c r="I32" s="4">
        <f t="shared" si="3"/>
        <v>2658697.1904832209</v>
      </c>
      <c r="J32">
        <v>85</v>
      </c>
      <c r="K32" s="4">
        <f t="shared" si="4"/>
        <v>17015568.309516776</v>
      </c>
      <c r="L32">
        <v>83</v>
      </c>
      <c r="M32" s="4">
        <f t="shared" si="5"/>
        <v>101095.5</v>
      </c>
      <c r="N32" s="3">
        <v>1332639</v>
      </c>
      <c r="P32" s="3">
        <f t="shared" si="6"/>
        <v>5887500</v>
      </c>
      <c r="Q32" s="3">
        <f t="shared" si="7"/>
        <v>4528846.153846154</v>
      </c>
      <c r="R32" s="3">
        <f t="shared" si="40"/>
        <v>1358653.8461538462</v>
      </c>
      <c r="S32" s="12">
        <f t="shared" si="41"/>
        <v>0.3</v>
      </c>
      <c r="T32" s="39">
        <f t="shared" si="42"/>
        <v>10.584581299872516</v>
      </c>
      <c r="U32" s="10"/>
      <c r="V32" s="3">
        <v>24930400</v>
      </c>
      <c r="W32" s="3">
        <v>23069157</v>
      </c>
      <c r="X32" s="4">
        <f t="shared" si="8"/>
        <v>1861243</v>
      </c>
      <c r="Z32">
        <v>12</v>
      </c>
      <c r="AA32" s="79" t="s">
        <v>691</v>
      </c>
      <c r="AB32" s="122">
        <v>36</v>
      </c>
      <c r="AC32" s="122">
        <v>4337</v>
      </c>
      <c r="AD32" s="122">
        <v>6200</v>
      </c>
      <c r="AE32" s="60">
        <v>115</v>
      </c>
      <c r="AF32" s="31">
        <v>46160</v>
      </c>
      <c r="AH32" s="3">
        <f>+AR32*L32*0.3025</f>
        <v>2862.2550000000001</v>
      </c>
      <c r="AI32" s="3">
        <f t="shared" si="43"/>
        <v>2931.2249999999999</v>
      </c>
      <c r="AJ32" s="13">
        <f t="shared" si="9"/>
        <v>0.61051968680807356</v>
      </c>
      <c r="AL32" t="s">
        <v>679</v>
      </c>
      <c r="AM32" t="s">
        <v>680</v>
      </c>
      <c r="AN32">
        <v>6700</v>
      </c>
      <c r="AO32" s="31">
        <f t="shared" si="10"/>
        <v>46160</v>
      </c>
      <c r="AP32">
        <v>111.79</v>
      </c>
      <c r="AQ32">
        <f t="shared" si="11"/>
        <v>198.1282791893596</v>
      </c>
      <c r="AR32">
        <v>114</v>
      </c>
      <c r="AS32" s="92">
        <v>0.2</v>
      </c>
      <c r="AT32" s="3">
        <f t="shared" si="12"/>
        <v>8198.9444494140789</v>
      </c>
      <c r="AU32">
        <f t="shared" si="13"/>
        <v>6414.431118313385</v>
      </c>
      <c r="AV32">
        <f t="shared" si="44"/>
        <v>1784.5133311006939</v>
      </c>
      <c r="AZ32" s="4">
        <f t="shared" si="45"/>
        <v>214.43111831338501</v>
      </c>
      <c r="BB32" s="13">
        <f t="shared" si="14"/>
        <v>0.27820289877396254</v>
      </c>
      <c r="BD32" s="15" t="s">
        <v>665</v>
      </c>
      <c r="BF32" s="3">
        <v>5887500</v>
      </c>
      <c r="BG32" s="3">
        <f t="shared" si="15"/>
        <v>4528846.153846154</v>
      </c>
      <c r="BH32" s="4">
        <f t="shared" si="16"/>
        <v>1358653.846153846</v>
      </c>
      <c r="BI32" s="10">
        <v>0.3</v>
      </c>
      <c r="BJ32" s="38">
        <f t="shared" si="17"/>
        <v>10.584581299872516</v>
      </c>
      <c r="BO32">
        <v>3934</v>
      </c>
      <c r="BP32">
        <f t="shared" si="18"/>
        <v>600</v>
      </c>
      <c r="BQ32">
        <v>4534</v>
      </c>
      <c r="BR32">
        <v>522</v>
      </c>
      <c r="BS32" s="1">
        <v>80</v>
      </c>
      <c r="BT32">
        <f t="shared" si="19"/>
        <v>453</v>
      </c>
      <c r="BU32">
        <f t="shared" si="20"/>
        <v>69</v>
      </c>
      <c r="BV32">
        <v>486</v>
      </c>
      <c r="BW32" s="22">
        <v>114</v>
      </c>
      <c r="BX32" s="22">
        <f t="shared" si="21"/>
        <v>422</v>
      </c>
      <c r="BY32" s="22">
        <f t="shared" si="22"/>
        <v>64</v>
      </c>
      <c r="BZ32" s="22">
        <v>3526</v>
      </c>
      <c r="CA32" s="22">
        <f t="shared" si="23"/>
        <v>193.97207762771473</v>
      </c>
      <c r="CB32" s="22">
        <f t="shared" si="24"/>
        <v>3059</v>
      </c>
      <c r="CC32">
        <f t="shared" si="25"/>
        <v>467</v>
      </c>
      <c r="CD32" s="1"/>
      <c r="CE32">
        <v>641</v>
      </c>
      <c r="CG32">
        <v>511</v>
      </c>
      <c r="CH32">
        <f t="shared" si="26"/>
        <v>80</v>
      </c>
      <c r="CI32">
        <v>130</v>
      </c>
      <c r="CJ32">
        <f t="shared" si="27"/>
        <v>114</v>
      </c>
      <c r="CK32">
        <f t="shared" si="28"/>
        <v>5175</v>
      </c>
      <c r="CM32">
        <v>6</v>
      </c>
      <c r="CN32" s="4">
        <v>21108000</v>
      </c>
      <c r="CO32" s="4">
        <f t="shared" si="29"/>
        <v>1332639</v>
      </c>
      <c r="CP32" s="3">
        <f t="shared" si="30"/>
        <v>101095.5</v>
      </c>
      <c r="CQ32" s="4">
        <f t="shared" si="31"/>
        <v>19674265.5</v>
      </c>
      <c r="CR32" s="66">
        <f t="shared" si="0"/>
        <v>85</v>
      </c>
      <c r="CS32" s="66">
        <f t="shared" si="1"/>
        <v>83</v>
      </c>
      <c r="CT32" s="4">
        <f t="shared" si="32"/>
        <v>1051828.8</v>
      </c>
      <c r="CU32" s="4">
        <f t="shared" si="33"/>
        <v>1395470.01</v>
      </c>
      <c r="CV32" s="4">
        <f t="shared" si="34"/>
        <v>17226966.689999998</v>
      </c>
      <c r="CW32">
        <f t="shared" si="35"/>
        <v>193.97207762771473</v>
      </c>
      <c r="CY32">
        <f t="shared" si="36"/>
        <v>103400.96025214277</v>
      </c>
      <c r="CZ32" s="3">
        <f t="shared" si="37"/>
        <v>2658697.1904832209</v>
      </c>
      <c r="DA32" s="3">
        <f t="shared" si="38"/>
        <v>677708.58546317939</v>
      </c>
      <c r="DB32" s="3">
        <f t="shared" si="39"/>
        <v>17015568.309516776</v>
      </c>
      <c r="DG32" s="79"/>
      <c r="DH32" s="122"/>
      <c r="DI32" s="122"/>
      <c r="DJ32" s="123"/>
      <c r="DK32" s="123"/>
      <c r="DL32" s="31"/>
    </row>
    <row r="33" spans="1:161" x14ac:dyDescent="0.55000000000000004">
      <c r="A33" t="s">
        <v>1</v>
      </c>
      <c r="B33" t="s">
        <v>3</v>
      </c>
      <c r="C33" s="31">
        <v>45992</v>
      </c>
      <c r="D33" s="31" t="s">
        <v>329</v>
      </c>
      <c r="E33" s="118">
        <v>1414452.9500000002</v>
      </c>
      <c r="F33" s="118" t="s">
        <v>13</v>
      </c>
      <c r="G33" s="37"/>
      <c r="H33" s="3">
        <f t="shared" si="2"/>
        <v>21107999.999999996</v>
      </c>
      <c r="I33" s="4">
        <f t="shared" si="3"/>
        <v>2658697.1904832209</v>
      </c>
      <c r="J33">
        <v>85</v>
      </c>
      <c r="K33" s="4">
        <f t="shared" si="4"/>
        <v>17015568.309516776</v>
      </c>
      <c r="L33">
        <v>83</v>
      </c>
      <c r="M33" s="4">
        <f t="shared" si="5"/>
        <v>101095.5</v>
      </c>
      <c r="N33" s="3">
        <v>1332639</v>
      </c>
      <c r="P33" s="3">
        <f t="shared" si="6"/>
        <v>5887500</v>
      </c>
      <c r="Q33" s="3">
        <f t="shared" si="7"/>
        <v>4528846.153846154</v>
      </c>
      <c r="R33" s="3">
        <f t="shared" si="40"/>
        <v>1358653.8461538462</v>
      </c>
      <c r="S33" s="12">
        <f t="shared" si="41"/>
        <v>0.3</v>
      </c>
      <c r="T33" s="39">
        <f t="shared" si="42"/>
        <v>10.584581299872516</v>
      </c>
      <c r="U33" s="10"/>
      <c r="V33" s="3">
        <v>24930400</v>
      </c>
      <c r="W33" s="3">
        <v>23069157</v>
      </c>
      <c r="X33" s="4">
        <f t="shared" si="8"/>
        <v>1861243</v>
      </c>
      <c r="Z33">
        <v>13</v>
      </c>
      <c r="AA33" s="79" t="s">
        <v>691</v>
      </c>
      <c r="AB33" s="122">
        <v>50</v>
      </c>
      <c r="AC33" s="122">
        <v>6145</v>
      </c>
      <c r="AD33" s="122">
        <v>7650</v>
      </c>
      <c r="AE33" s="60">
        <v>164</v>
      </c>
      <c r="AF33" s="31">
        <v>46160</v>
      </c>
      <c r="AH33" s="3">
        <f>+AR33*L33*0.3025</f>
        <v>2862.2550000000001</v>
      </c>
      <c r="AI33" s="3">
        <f t="shared" si="43"/>
        <v>2931.2249999999999</v>
      </c>
      <c r="AJ33" s="13">
        <f t="shared" si="9"/>
        <v>0.61051968680807356</v>
      </c>
      <c r="AL33" t="s">
        <v>679</v>
      </c>
      <c r="AM33" t="s">
        <v>680</v>
      </c>
      <c r="AN33">
        <v>6700</v>
      </c>
      <c r="AO33" s="31">
        <f t="shared" si="10"/>
        <v>46160</v>
      </c>
      <c r="AP33">
        <v>111.79</v>
      </c>
      <c r="AQ33">
        <f t="shared" si="11"/>
        <v>198.1282791893596</v>
      </c>
      <c r="AR33">
        <v>114</v>
      </c>
      <c r="AS33" s="92">
        <v>0.2</v>
      </c>
      <c r="AT33" s="3">
        <f t="shared" si="12"/>
        <v>8198.9444494140789</v>
      </c>
      <c r="AU33">
        <f t="shared" si="13"/>
        <v>6760.6115245643887</v>
      </c>
      <c r="AV33">
        <f t="shared" si="44"/>
        <v>1438.3329248496902</v>
      </c>
      <c r="AZ33" s="4">
        <f t="shared" si="45"/>
        <v>-889.38847543561178</v>
      </c>
      <c r="BB33" s="13">
        <f t="shared" si="14"/>
        <v>0.21275189672170483</v>
      </c>
      <c r="BD33" s="15" t="s">
        <v>665</v>
      </c>
      <c r="BF33" s="3">
        <v>5887500</v>
      </c>
      <c r="BG33" s="3">
        <f t="shared" si="15"/>
        <v>4528846.153846154</v>
      </c>
      <c r="BH33" s="4">
        <f t="shared" si="16"/>
        <v>1358653.846153846</v>
      </c>
      <c r="BI33" s="10">
        <v>0.3</v>
      </c>
      <c r="BJ33" s="38">
        <f t="shared" si="17"/>
        <v>10.584581299872516</v>
      </c>
      <c r="BO33">
        <v>3934</v>
      </c>
      <c r="BP33">
        <f t="shared" si="18"/>
        <v>600</v>
      </c>
      <c r="BQ33">
        <v>4534</v>
      </c>
      <c r="BR33">
        <v>522</v>
      </c>
      <c r="BS33" s="1">
        <v>80</v>
      </c>
      <c r="BT33">
        <f t="shared" si="19"/>
        <v>453</v>
      </c>
      <c r="BU33">
        <f t="shared" si="20"/>
        <v>69</v>
      </c>
      <c r="BV33">
        <v>486</v>
      </c>
      <c r="BW33" s="22">
        <v>114</v>
      </c>
      <c r="BX33" s="22">
        <f t="shared" si="21"/>
        <v>422</v>
      </c>
      <c r="BY33" s="22">
        <f t="shared" si="22"/>
        <v>64</v>
      </c>
      <c r="BZ33" s="22">
        <v>3526</v>
      </c>
      <c r="CA33" s="22">
        <f t="shared" si="23"/>
        <v>193.97207762771473</v>
      </c>
      <c r="CB33" s="22">
        <f t="shared" si="24"/>
        <v>3059</v>
      </c>
      <c r="CC33">
        <f t="shared" si="25"/>
        <v>467</v>
      </c>
      <c r="CD33" s="1"/>
      <c r="CE33">
        <v>641</v>
      </c>
      <c r="CG33">
        <v>511</v>
      </c>
      <c r="CH33">
        <f t="shared" si="26"/>
        <v>80</v>
      </c>
      <c r="CI33">
        <v>130</v>
      </c>
      <c r="CJ33">
        <f t="shared" si="27"/>
        <v>114</v>
      </c>
      <c r="CK33">
        <f t="shared" si="28"/>
        <v>5175</v>
      </c>
      <c r="CM33">
        <v>6</v>
      </c>
      <c r="CN33" s="4">
        <v>21108000</v>
      </c>
      <c r="CO33" s="4">
        <f t="shared" si="29"/>
        <v>1332639</v>
      </c>
      <c r="CP33" s="3">
        <f t="shared" si="30"/>
        <v>101095.5</v>
      </c>
      <c r="CQ33" s="4">
        <f t="shared" si="31"/>
        <v>19674265.5</v>
      </c>
      <c r="CR33" s="66">
        <f t="shared" si="0"/>
        <v>85</v>
      </c>
      <c r="CS33" s="66">
        <f t="shared" si="1"/>
        <v>83</v>
      </c>
      <c r="CT33" s="4">
        <f t="shared" si="32"/>
        <v>1051828.8</v>
      </c>
      <c r="CU33" s="4">
        <f t="shared" si="33"/>
        <v>1395470.01</v>
      </c>
      <c r="CV33" s="4">
        <f t="shared" si="34"/>
        <v>17226966.689999998</v>
      </c>
      <c r="CW33">
        <f t="shared" si="35"/>
        <v>193.97207762771473</v>
      </c>
      <c r="CY33">
        <f t="shared" si="36"/>
        <v>103400.96025214277</v>
      </c>
      <c r="CZ33" s="3">
        <f t="shared" si="37"/>
        <v>2658697.1904832209</v>
      </c>
      <c r="DA33" s="3">
        <f t="shared" si="38"/>
        <v>677708.58546317939</v>
      </c>
      <c r="DB33" s="3">
        <f t="shared" si="39"/>
        <v>17015568.309516776</v>
      </c>
      <c r="DG33" s="79"/>
      <c r="DH33" s="122"/>
      <c r="DI33" s="122"/>
      <c r="DJ33" s="123"/>
      <c r="DK33" s="123"/>
      <c r="DL33" s="31"/>
    </row>
    <row r="34" spans="1:161" x14ac:dyDescent="0.55000000000000004">
      <c r="A34" t="s">
        <v>1</v>
      </c>
      <c r="B34" t="s">
        <v>3</v>
      </c>
      <c r="C34" s="31">
        <v>45992</v>
      </c>
      <c r="D34" s="31" t="s">
        <v>329</v>
      </c>
      <c r="E34" s="119">
        <v>1414452.9500000002</v>
      </c>
      <c r="F34" s="119" t="s">
        <v>13</v>
      </c>
      <c r="G34" s="37"/>
      <c r="H34" s="3">
        <f t="shared" si="2"/>
        <v>21107999.999999996</v>
      </c>
      <c r="I34" s="4">
        <f t="shared" si="3"/>
        <v>2658697.1904832209</v>
      </c>
      <c r="J34">
        <v>85</v>
      </c>
      <c r="K34" s="4">
        <f t="shared" si="4"/>
        <v>17015568.309516776</v>
      </c>
      <c r="L34">
        <v>83</v>
      </c>
      <c r="M34" s="4">
        <f t="shared" si="5"/>
        <v>101095.5</v>
      </c>
      <c r="N34" s="3">
        <v>1332639</v>
      </c>
      <c r="P34" s="3">
        <f t="shared" si="6"/>
        <v>5887500</v>
      </c>
      <c r="Q34" s="3">
        <f t="shared" si="7"/>
        <v>4528846.153846154</v>
      </c>
      <c r="R34" s="3">
        <f t="shared" si="40"/>
        <v>1358653.8461538462</v>
      </c>
      <c r="S34" s="12">
        <f t="shared" si="41"/>
        <v>0.3</v>
      </c>
      <c r="T34" s="39">
        <f t="shared" si="42"/>
        <v>10.584581299872516</v>
      </c>
      <c r="U34" s="10"/>
      <c r="V34" s="3">
        <v>24930400</v>
      </c>
      <c r="W34" s="3">
        <v>23069157</v>
      </c>
      <c r="X34" s="4">
        <f t="shared" si="8"/>
        <v>1861243</v>
      </c>
      <c r="Z34">
        <v>14</v>
      </c>
      <c r="AA34" s="79" t="s">
        <v>692</v>
      </c>
      <c r="AB34" s="122" t="s">
        <v>693</v>
      </c>
      <c r="AC34" s="122">
        <v>4660</v>
      </c>
      <c r="AD34" s="122">
        <v>6150</v>
      </c>
      <c r="AE34" s="60">
        <v>116</v>
      </c>
      <c r="AF34" s="31">
        <v>46160</v>
      </c>
      <c r="AH34" s="3">
        <f>+AR34*L34*0.3025</f>
        <v>2862.2550000000001</v>
      </c>
      <c r="AI34" s="3">
        <f t="shared" si="43"/>
        <v>2931.2249999999999</v>
      </c>
      <c r="AJ34" s="13">
        <f t="shared" si="9"/>
        <v>0.61051968680807356</v>
      </c>
      <c r="AL34" t="s">
        <v>679</v>
      </c>
      <c r="AM34" t="s">
        <v>680</v>
      </c>
      <c r="AN34">
        <v>6700</v>
      </c>
      <c r="AO34" s="31">
        <f t="shared" si="10"/>
        <v>46160</v>
      </c>
      <c r="AP34">
        <v>111.79</v>
      </c>
      <c r="AQ34">
        <f t="shared" si="11"/>
        <v>198.1282791893596</v>
      </c>
      <c r="AR34">
        <v>114</v>
      </c>
      <c r="AS34" s="92">
        <v>0.2</v>
      </c>
      <c r="AT34" s="3">
        <f t="shared" si="12"/>
        <v>8198.9444494140789</v>
      </c>
      <c r="AU34">
        <f t="shared" si="13"/>
        <v>6167.2332594743775</v>
      </c>
      <c r="AV34">
        <f t="shared" si="44"/>
        <v>2031.7111899397014</v>
      </c>
      <c r="AZ34" s="4">
        <f t="shared" si="45"/>
        <v>17.233259474377519</v>
      </c>
      <c r="BB34" s="13">
        <f t="shared" si="14"/>
        <v>0.32943641086033132</v>
      </c>
      <c r="BD34" s="15" t="s">
        <v>665</v>
      </c>
      <c r="BF34" s="3">
        <v>5887500</v>
      </c>
      <c r="BG34" s="3">
        <f t="shared" si="15"/>
        <v>4528846.153846154</v>
      </c>
      <c r="BH34" s="4">
        <f t="shared" si="16"/>
        <v>1358653.846153846</v>
      </c>
      <c r="BI34" s="10">
        <v>0.3</v>
      </c>
      <c r="BJ34" s="38">
        <f t="shared" si="17"/>
        <v>10.584581299872516</v>
      </c>
      <c r="BO34">
        <v>3934</v>
      </c>
      <c r="BP34">
        <f t="shared" si="18"/>
        <v>600</v>
      </c>
      <c r="BQ34">
        <v>4534</v>
      </c>
      <c r="BR34">
        <v>522</v>
      </c>
      <c r="BS34" s="1">
        <v>80</v>
      </c>
      <c r="BT34">
        <f t="shared" si="19"/>
        <v>453</v>
      </c>
      <c r="BU34">
        <f t="shared" si="20"/>
        <v>69</v>
      </c>
      <c r="BV34">
        <v>486</v>
      </c>
      <c r="BW34" s="22">
        <v>114</v>
      </c>
      <c r="BX34" s="22">
        <f t="shared" si="21"/>
        <v>422</v>
      </c>
      <c r="BY34" s="22">
        <f t="shared" si="22"/>
        <v>64</v>
      </c>
      <c r="BZ34" s="22">
        <v>3526</v>
      </c>
      <c r="CA34" s="22">
        <f t="shared" si="23"/>
        <v>193.97207762771473</v>
      </c>
      <c r="CB34" s="22">
        <f t="shared" si="24"/>
        <v>3059</v>
      </c>
      <c r="CC34">
        <f t="shared" si="25"/>
        <v>467</v>
      </c>
      <c r="CD34" s="1"/>
      <c r="CE34">
        <v>641</v>
      </c>
      <c r="CG34">
        <v>511</v>
      </c>
      <c r="CH34">
        <f t="shared" si="26"/>
        <v>80</v>
      </c>
      <c r="CI34">
        <v>130</v>
      </c>
      <c r="CJ34">
        <f t="shared" si="27"/>
        <v>114</v>
      </c>
      <c r="CK34">
        <f t="shared" si="28"/>
        <v>5175</v>
      </c>
      <c r="CM34">
        <v>6</v>
      </c>
      <c r="CN34" s="4">
        <v>21108000</v>
      </c>
      <c r="CO34" s="4">
        <f t="shared" si="29"/>
        <v>1332639</v>
      </c>
      <c r="CP34" s="3">
        <f t="shared" si="30"/>
        <v>101095.5</v>
      </c>
      <c r="CQ34" s="4">
        <f t="shared" si="31"/>
        <v>19674265.5</v>
      </c>
      <c r="CR34" s="66">
        <f t="shared" si="0"/>
        <v>85</v>
      </c>
      <c r="CS34" s="66">
        <f t="shared" si="1"/>
        <v>83</v>
      </c>
      <c r="CT34" s="4">
        <f t="shared" si="32"/>
        <v>1051828.8</v>
      </c>
      <c r="CU34" s="4">
        <f t="shared" si="33"/>
        <v>1395470.01</v>
      </c>
      <c r="CV34" s="4">
        <f t="shared" si="34"/>
        <v>17226966.689999998</v>
      </c>
      <c r="CW34">
        <f t="shared" si="35"/>
        <v>193.97207762771473</v>
      </c>
      <c r="CY34">
        <f t="shared" si="36"/>
        <v>103400.96025214277</v>
      </c>
      <c r="CZ34" s="3">
        <f t="shared" si="37"/>
        <v>2658697.1904832209</v>
      </c>
      <c r="DA34" s="3">
        <f t="shared" si="38"/>
        <v>677708.58546317939</v>
      </c>
      <c r="DB34" s="3">
        <f t="shared" si="39"/>
        <v>17015568.309516776</v>
      </c>
      <c r="DG34" s="79"/>
      <c r="DH34" s="122"/>
      <c r="DI34" s="122"/>
      <c r="DJ34" s="123"/>
      <c r="DK34" s="123"/>
      <c r="DL34" s="31"/>
    </row>
    <row r="35" spans="1:161" x14ac:dyDescent="0.55000000000000004">
      <c r="A35" t="s">
        <v>1</v>
      </c>
      <c r="B35" t="s">
        <v>3</v>
      </c>
      <c r="C35" s="31">
        <v>45992</v>
      </c>
      <c r="D35" s="31" t="s">
        <v>329</v>
      </c>
      <c r="E35" s="119">
        <v>1414452.9500000002</v>
      </c>
      <c r="F35" s="119" t="s">
        <v>13</v>
      </c>
      <c r="G35" s="37"/>
      <c r="H35" s="3">
        <f t="shared" si="2"/>
        <v>21107999.999999996</v>
      </c>
      <c r="I35" s="4">
        <f t="shared" si="3"/>
        <v>2658697.1904832209</v>
      </c>
      <c r="J35">
        <v>85</v>
      </c>
      <c r="K35" s="4">
        <f t="shared" si="4"/>
        <v>17015568.309516776</v>
      </c>
      <c r="L35">
        <v>83</v>
      </c>
      <c r="M35" s="4">
        <f t="shared" si="5"/>
        <v>101095.5</v>
      </c>
      <c r="N35" s="3">
        <v>1332639</v>
      </c>
      <c r="P35" s="3">
        <f t="shared" si="6"/>
        <v>5887500</v>
      </c>
      <c r="Q35" s="3">
        <f t="shared" si="7"/>
        <v>4528846.153846154</v>
      </c>
      <c r="R35" s="3">
        <f t="shared" si="40"/>
        <v>1358653.8461538462</v>
      </c>
      <c r="S35" s="12">
        <f t="shared" si="41"/>
        <v>0.3</v>
      </c>
      <c r="T35" s="39">
        <f t="shared" si="42"/>
        <v>10.584581299872516</v>
      </c>
      <c r="U35" s="10"/>
      <c r="V35" s="3">
        <v>24930400</v>
      </c>
      <c r="W35" s="3">
        <v>23069157</v>
      </c>
      <c r="X35" s="4">
        <f t="shared" si="8"/>
        <v>1861243</v>
      </c>
      <c r="Z35">
        <v>15</v>
      </c>
      <c r="AA35" s="79" t="s">
        <v>692</v>
      </c>
      <c r="AB35" s="122" t="s">
        <v>694</v>
      </c>
      <c r="AC35" s="122">
        <v>4660</v>
      </c>
      <c r="AD35" s="122">
        <v>6150</v>
      </c>
      <c r="AE35" s="60">
        <v>119</v>
      </c>
      <c r="AF35" s="31">
        <v>46160</v>
      </c>
      <c r="AH35" s="3">
        <f>+AR35*L35*0.3025</f>
        <v>2862.2550000000001</v>
      </c>
      <c r="AI35" s="3">
        <f t="shared" si="43"/>
        <v>2931.2249999999999</v>
      </c>
      <c r="AJ35" s="13">
        <f t="shared" si="9"/>
        <v>0.61051968680807356</v>
      </c>
      <c r="AL35" t="s">
        <v>679</v>
      </c>
      <c r="AM35" t="s">
        <v>680</v>
      </c>
      <c r="AN35">
        <v>6700</v>
      </c>
      <c r="AO35" s="31">
        <f t="shared" si="10"/>
        <v>46160</v>
      </c>
      <c r="AP35">
        <v>111.79</v>
      </c>
      <c r="AQ35">
        <f t="shared" si="11"/>
        <v>198.1282791893596</v>
      </c>
      <c r="AR35">
        <v>114</v>
      </c>
      <c r="AS35" s="92">
        <v>0.2</v>
      </c>
      <c r="AT35" s="3">
        <f t="shared" si="12"/>
        <v>8198.9444494140789</v>
      </c>
      <c r="AU35">
        <f t="shared" si="13"/>
        <v>6167.2332594743775</v>
      </c>
      <c r="AV35">
        <f t="shared" si="44"/>
        <v>2031.7111899397014</v>
      </c>
      <c r="AZ35" s="4">
        <f t="shared" si="45"/>
        <v>17.233259474377519</v>
      </c>
      <c r="BB35" s="13">
        <f t="shared" si="14"/>
        <v>0.32943641086033132</v>
      </c>
      <c r="BD35" s="15" t="s">
        <v>665</v>
      </c>
      <c r="BF35" s="3">
        <v>5887500</v>
      </c>
      <c r="BG35" s="3">
        <f t="shared" si="15"/>
        <v>4528846.153846154</v>
      </c>
      <c r="BH35" s="4">
        <f t="shared" si="16"/>
        <v>1358653.846153846</v>
      </c>
      <c r="BI35" s="10">
        <v>0.3</v>
      </c>
      <c r="BJ35" s="38">
        <f t="shared" si="17"/>
        <v>10.584581299872516</v>
      </c>
      <c r="BO35">
        <v>3934</v>
      </c>
      <c r="BP35">
        <f t="shared" si="18"/>
        <v>600</v>
      </c>
      <c r="BQ35">
        <v>4534</v>
      </c>
      <c r="BR35">
        <v>522</v>
      </c>
      <c r="BS35" s="1">
        <v>80</v>
      </c>
      <c r="BT35">
        <f t="shared" si="19"/>
        <v>453</v>
      </c>
      <c r="BU35">
        <f t="shared" si="20"/>
        <v>69</v>
      </c>
      <c r="BV35">
        <v>486</v>
      </c>
      <c r="BW35" s="22">
        <v>114</v>
      </c>
      <c r="BX35" s="22">
        <f t="shared" si="21"/>
        <v>422</v>
      </c>
      <c r="BY35" s="22">
        <f t="shared" si="22"/>
        <v>64</v>
      </c>
      <c r="BZ35" s="22">
        <v>3526</v>
      </c>
      <c r="CA35" s="22">
        <f t="shared" si="23"/>
        <v>193.97207762771473</v>
      </c>
      <c r="CB35" s="22">
        <f t="shared" si="24"/>
        <v>3059</v>
      </c>
      <c r="CC35">
        <f t="shared" si="25"/>
        <v>467</v>
      </c>
      <c r="CD35" s="1"/>
      <c r="CE35">
        <v>641</v>
      </c>
      <c r="CG35">
        <v>511</v>
      </c>
      <c r="CH35">
        <f t="shared" si="26"/>
        <v>80</v>
      </c>
      <c r="CI35">
        <v>130</v>
      </c>
      <c r="CJ35">
        <f t="shared" si="27"/>
        <v>114</v>
      </c>
      <c r="CK35">
        <f t="shared" si="28"/>
        <v>5175</v>
      </c>
      <c r="CM35">
        <v>6</v>
      </c>
      <c r="CN35" s="4">
        <v>21108000</v>
      </c>
      <c r="CO35" s="4">
        <f t="shared" si="29"/>
        <v>1332639</v>
      </c>
      <c r="CP35" s="3">
        <f t="shared" si="30"/>
        <v>101095.5</v>
      </c>
      <c r="CQ35" s="4">
        <f t="shared" si="31"/>
        <v>19674265.5</v>
      </c>
      <c r="CR35" s="66">
        <f t="shared" si="0"/>
        <v>85</v>
      </c>
      <c r="CS35" s="66">
        <f t="shared" si="1"/>
        <v>83</v>
      </c>
      <c r="CT35" s="4">
        <f t="shared" si="32"/>
        <v>1051828.8</v>
      </c>
      <c r="CU35" s="4">
        <f t="shared" si="33"/>
        <v>1395470.01</v>
      </c>
      <c r="CV35" s="4">
        <f t="shared" si="34"/>
        <v>17226966.689999998</v>
      </c>
      <c r="CW35">
        <f t="shared" si="35"/>
        <v>193.97207762771473</v>
      </c>
      <c r="CY35">
        <f t="shared" si="36"/>
        <v>103400.96025214277</v>
      </c>
      <c r="CZ35" s="3">
        <f t="shared" si="37"/>
        <v>2658697.1904832209</v>
      </c>
      <c r="DA35" s="3">
        <f t="shared" si="38"/>
        <v>677708.58546317939</v>
      </c>
      <c r="DB35" s="3">
        <f t="shared" si="39"/>
        <v>17015568.309516776</v>
      </c>
      <c r="DG35" s="79"/>
      <c r="DH35" s="122"/>
      <c r="DI35" s="122"/>
      <c r="DJ35" s="123"/>
      <c r="DK35" s="123"/>
      <c r="DL35" s="31"/>
    </row>
    <row r="36" spans="1:161" x14ac:dyDescent="0.55000000000000004">
      <c r="A36" t="s">
        <v>1</v>
      </c>
      <c r="B36" t="s">
        <v>3</v>
      </c>
      <c r="C36" s="31">
        <v>45992</v>
      </c>
      <c r="D36" s="31" t="s">
        <v>329</v>
      </c>
      <c r="E36" s="119">
        <v>1414452.9500000002</v>
      </c>
      <c r="F36" s="119" t="s">
        <v>13</v>
      </c>
      <c r="G36" s="37"/>
      <c r="H36" s="3">
        <f t="shared" si="2"/>
        <v>21107999.999999996</v>
      </c>
      <c r="I36" s="4">
        <f t="shared" si="3"/>
        <v>2658697.1904832209</v>
      </c>
      <c r="J36">
        <v>85</v>
      </c>
      <c r="K36" s="4">
        <f t="shared" si="4"/>
        <v>17015568.309516776</v>
      </c>
      <c r="L36">
        <v>83</v>
      </c>
      <c r="M36" s="4">
        <f t="shared" si="5"/>
        <v>101095.5</v>
      </c>
      <c r="N36" s="3">
        <v>1332639</v>
      </c>
      <c r="P36" s="3">
        <f t="shared" si="6"/>
        <v>5887500</v>
      </c>
      <c r="Q36" s="3">
        <f t="shared" si="7"/>
        <v>4528846.153846154</v>
      </c>
      <c r="R36" s="3">
        <f t="shared" si="40"/>
        <v>1358653.8461538462</v>
      </c>
      <c r="S36" s="12">
        <f t="shared" si="41"/>
        <v>0.3</v>
      </c>
      <c r="T36" s="39">
        <f t="shared" si="42"/>
        <v>10.584581299872516</v>
      </c>
      <c r="U36" s="10"/>
      <c r="V36" s="3">
        <v>24930400</v>
      </c>
      <c r="W36" s="3">
        <v>23069157</v>
      </c>
      <c r="X36" s="4">
        <f t="shared" si="8"/>
        <v>1861243</v>
      </c>
      <c r="Z36">
        <v>16</v>
      </c>
      <c r="AA36" s="79" t="s">
        <v>695</v>
      </c>
      <c r="AB36" s="122">
        <v>32</v>
      </c>
      <c r="AC36" s="122">
        <v>4348</v>
      </c>
      <c r="AD36" s="122">
        <v>5850</v>
      </c>
      <c r="AE36" s="60" t="s">
        <v>699</v>
      </c>
      <c r="AF36" s="31">
        <v>46160</v>
      </c>
      <c r="AH36" s="3">
        <f>+AR36*L36*0.3025</f>
        <v>2862.2550000000001</v>
      </c>
      <c r="AI36" s="3">
        <f t="shared" si="43"/>
        <v>2931.2249999999999</v>
      </c>
      <c r="AJ36" s="13">
        <f t="shared" si="9"/>
        <v>0.61051968680807356</v>
      </c>
      <c r="AL36" t="s">
        <v>679</v>
      </c>
      <c r="AM36" t="s">
        <v>680</v>
      </c>
      <c r="AN36">
        <v>6700</v>
      </c>
      <c r="AO36" s="31">
        <f t="shared" si="10"/>
        <v>46160</v>
      </c>
      <c r="AP36">
        <v>111.79</v>
      </c>
      <c r="AQ36">
        <f t="shared" si="11"/>
        <v>198.1282791893596</v>
      </c>
      <c r="AR36">
        <v>114</v>
      </c>
      <c r="AS36" s="92">
        <v>0.2</v>
      </c>
      <c r="AT36" s="3">
        <f t="shared" si="12"/>
        <v>8198.9444494140789</v>
      </c>
      <c r="AU36">
        <f t="shared" si="13"/>
        <v>6057.7154017584962</v>
      </c>
      <c r="AV36">
        <f t="shared" si="44"/>
        <v>2141.2290476555827</v>
      </c>
      <c r="AZ36" s="4">
        <f t="shared" si="45"/>
        <v>207.71540175849623</v>
      </c>
      <c r="BB36" s="13">
        <f t="shared" si="14"/>
        <v>0.35347138411850854</v>
      </c>
      <c r="BD36" s="15" t="s">
        <v>665</v>
      </c>
      <c r="BF36" s="3">
        <v>5887500</v>
      </c>
      <c r="BG36" s="3">
        <f t="shared" si="15"/>
        <v>4528846.153846154</v>
      </c>
      <c r="BH36" s="4">
        <f t="shared" si="16"/>
        <v>1358653.846153846</v>
      </c>
      <c r="BI36" s="10">
        <v>0.3</v>
      </c>
      <c r="BJ36" s="38">
        <f t="shared" si="17"/>
        <v>10.584581299872516</v>
      </c>
      <c r="BO36">
        <v>3934</v>
      </c>
      <c r="BP36">
        <f t="shared" si="18"/>
        <v>600</v>
      </c>
      <c r="BQ36">
        <v>4534</v>
      </c>
      <c r="BR36">
        <v>522</v>
      </c>
      <c r="BS36" s="1">
        <v>80</v>
      </c>
      <c r="BT36">
        <f t="shared" si="19"/>
        <v>453</v>
      </c>
      <c r="BU36">
        <f t="shared" si="20"/>
        <v>69</v>
      </c>
      <c r="BV36">
        <v>486</v>
      </c>
      <c r="BW36" s="22">
        <v>114</v>
      </c>
      <c r="BX36" s="22">
        <f t="shared" si="21"/>
        <v>422</v>
      </c>
      <c r="BY36" s="22">
        <f t="shared" si="22"/>
        <v>64</v>
      </c>
      <c r="BZ36" s="22">
        <v>3526</v>
      </c>
      <c r="CA36" s="22">
        <f t="shared" si="23"/>
        <v>193.97207762771473</v>
      </c>
      <c r="CB36" s="22">
        <f t="shared" si="24"/>
        <v>3059</v>
      </c>
      <c r="CC36">
        <f t="shared" si="25"/>
        <v>467</v>
      </c>
      <c r="CD36" s="1"/>
      <c r="CE36">
        <v>641</v>
      </c>
      <c r="CG36">
        <v>511</v>
      </c>
      <c r="CH36">
        <f t="shared" si="26"/>
        <v>80</v>
      </c>
      <c r="CI36">
        <v>130</v>
      </c>
      <c r="CJ36">
        <f t="shared" si="27"/>
        <v>114</v>
      </c>
      <c r="CK36">
        <f t="shared" si="28"/>
        <v>5175</v>
      </c>
      <c r="CM36">
        <v>6</v>
      </c>
      <c r="CN36" s="4">
        <v>21108000</v>
      </c>
      <c r="CO36" s="4">
        <f t="shared" si="29"/>
        <v>1332639</v>
      </c>
      <c r="CP36" s="3">
        <f t="shared" si="30"/>
        <v>101095.5</v>
      </c>
      <c r="CQ36" s="4">
        <f t="shared" si="31"/>
        <v>19674265.5</v>
      </c>
      <c r="CR36" s="66">
        <f t="shared" si="0"/>
        <v>85</v>
      </c>
      <c r="CS36" s="66">
        <f t="shared" si="1"/>
        <v>83</v>
      </c>
      <c r="CT36" s="4">
        <f t="shared" si="32"/>
        <v>1051828.8</v>
      </c>
      <c r="CU36" s="4">
        <f t="shared" si="33"/>
        <v>1395470.01</v>
      </c>
      <c r="CV36" s="4">
        <f t="shared" si="34"/>
        <v>17226966.689999998</v>
      </c>
      <c r="CW36">
        <f t="shared" si="35"/>
        <v>193.97207762771473</v>
      </c>
      <c r="CY36">
        <f t="shared" si="36"/>
        <v>103400.96025214277</v>
      </c>
      <c r="CZ36" s="3">
        <f t="shared" si="37"/>
        <v>2658697.1904832209</v>
      </c>
      <c r="DA36" s="3">
        <f t="shared" si="38"/>
        <v>677708.58546317939</v>
      </c>
      <c r="DB36" s="3">
        <f t="shared" si="39"/>
        <v>17015568.309516776</v>
      </c>
      <c r="DG36" s="79"/>
      <c r="DH36" s="122"/>
      <c r="DI36" s="122"/>
      <c r="DJ36" s="123"/>
      <c r="DK36" s="123"/>
      <c r="DL36" s="31"/>
    </row>
    <row r="37" spans="1:161" x14ac:dyDescent="0.55000000000000004">
      <c r="A37" t="s">
        <v>1</v>
      </c>
      <c r="B37" t="s">
        <v>3</v>
      </c>
      <c r="C37" s="31">
        <v>45992</v>
      </c>
      <c r="D37" s="31" t="s">
        <v>329</v>
      </c>
      <c r="E37" s="118">
        <v>1414452.9500000002</v>
      </c>
      <c r="F37" s="118" t="s">
        <v>13</v>
      </c>
      <c r="G37" s="37"/>
      <c r="H37" s="3">
        <f t="shared" si="2"/>
        <v>21107999.999999996</v>
      </c>
      <c r="I37" s="4">
        <f t="shared" si="3"/>
        <v>2658697.1904832209</v>
      </c>
      <c r="J37">
        <v>85</v>
      </c>
      <c r="K37" s="4">
        <f t="shared" si="4"/>
        <v>17015568.309516776</v>
      </c>
      <c r="L37">
        <v>83</v>
      </c>
      <c r="M37" s="4">
        <f t="shared" si="5"/>
        <v>101095.5</v>
      </c>
      <c r="N37" s="3">
        <v>1332639</v>
      </c>
      <c r="P37" s="3">
        <f t="shared" si="6"/>
        <v>5887500</v>
      </c>
      <c r="Q37" s="3">
        <f t="shared" si="7"/>
        <v>4528846.153846154</v>
      </c>
      <c r="R37" s="3">
        <f t="shared" si="40"/>
        <v>1358653.8461538462</v>
      </c>
      <c r="S37" s="12">
        <f t="shared" si="41"/>
        <v>0.3</v>
      </c>
      <c r="T37" s="39">
        <f t="shared" si="42"/>
        <v>10.584581299872516</v>
      </c>
      <c r="U37" s="10"/>
      <c r="V37" s="3">
        <v>24930400</v>
      </c>
      <c r="W37" s="3">
        <v>23069157</v>
      </c>
      <c r="X37" s="4">
        <f t="shared" si="8"/>
        <v>1861243</v>
      </c>
      <c r="Z37">
        <v>17</v>
      </c>
      <c r="AA37" s="79" t="s">
        <v>696</v>
      </c>
      <c r="AB37" s="122">
        <v>81</v>
      </c>
      <c r="AC37" s="122">
        <v>6467</v>
      </c>
      <c r="AD37" s="122">
        <f>+DJ37</f>
        <v>10852.127802389583</v>
      </c>
      <c r="AE37" s="60" t="s">
        <v>701</v>
      </c>
      <c r="AF37" s="31">
        <v>46160</v>
      </c>
      <c r="AH37" s="3">
        <f>+AR37*L37*0.3025</f>
        <v>2862.2550000000001</v>
      </c>
      <c r="AI37" s="3">
        <f t="shared" si="43"/>
        <v>2931.2249999999999</v>
      </c>
      <c r="AJ37" s="13">
        <f t="shared" si="9"/>
        <v>0.61051968680807356</v>
      </c>
      <c r="AL37" t="s">
        <v>679</v>
      </c>
      <c r="AM37" t="s">
        <v>680</v>
      </c>
      <c r="AN37">
        <v>6700</v>
      </c>
      <c r="AO37" s="31">
        <f t="shared" si="10"/>
        <v>46160</v>
      </c>
      <c r="AP37">
        <v>111.79</v>
      </c>
      <c r="AQ37">
        <f t="shared" si="11"/>
        <v>198.1282791893596</v>
      </c>
      <c r="AR37">
        <v>114</v>
      </c>
      <c r="AS37" s="92">
        <v>0.2</v>
      </c>
      <c r="AT37" s="3">
        <f t="shared" si="12"/>
        <v>8198.9444494140789</v>
      </c>
      <c r="AU37">
        <f t="shared" si="13"/>
        <v>9766.1519878017716</v>
      </c>
      <c r="AV37">
        <f t="shared" si="44"/>
        <v>-1567.2075383876927</v>
      </c>
      <c r="AZ37" s="4">
        <f t="shared" si="45"/>
        <v>-1085.9758145878118</v>
      </c>
      <c r="BB37" s="13">
        <f t="shared" si="14"/>
        <v>-0.16047339221683052</v>
      </c>
      <c r="BD37" s="15" t="s">
        <v>665</v>
      </c>
      <c r="BF37" s="3">
        <v>5887500</v>
      </c>
      <c r="BG37" s="3">
        <f t="shared" si="15"/>
        <v>4528846.153846154</v>
      </c>
      <c r="BH37" s="4">
        <f t="shared" si="16"/>
        <v>1358653.846153846</v>
      </c>
      <c r="BI37" s="10">
        <v>0.3</v>
      </c>
      <c r="BJ37" s="38">
        <f t="shared" si="17"/>
        <v>10.584581299872516</v>
      </c>
      <c r="BO37">
        <v>3934</v>
      </c>
      <c r="BP37">
        <f t="shared" si="18"/>
        <v>600</v>
      </c>
      <c r="BQ37">
        <v>4534</v>
      </c>
      <c r="BR37">
        <v>522</v>
      </c>
      <c r="BS37" s="1">
        <v>80</v>
      </c>
      <c r="BT37">
        <f t="shared" si="19"/>
        <v>453</v>
      </c>
      <c r="BU37">
        <f t="shared" si="20"/>
        <v>69</v>
      </c>
      <c r="BV37">
        <v>486</v>
      </c>
      <c r="BW37" s="22">
        <v>114</v>
      </c>
      <c r="BX37" s="22">
        <f t="shared" si="21"/>
        <v>422</v>
      </c>
      <c r="BY37" s="22">
        <f t="shared" si="22"/>
        <v>64</v>
      </c>
      <c r="BZ37" s="22">
        <v>3526</v>
      </c>
      <c r="CA37" s="22">
        <f t="shared" si="23"/>
        <v>193.97207762771473</v>
      </c>
      <c r="CB37" s="22">
        <f t="shared" si="24"/>
        <v>3059</v>
      </c>
      <c r="CC37">
        <f t="shared" si="25"/>
        <v>467</v>
      </c>
      <c r="CD37" s="1"/>
      <c r="CE37">
        <v>641</v>
      </c>
      <c r="CG37">
        <v>511</v>
      </c>
      <c r="CH37">
        <f t="shared" si="26"/>
        <v>80</v>
      </c>
      <c r="CI37">
        <v>130</v>
      </c>
      <c r="CJ37">
        <f t="shared" si="27"/>
        <v>114</v>
      </c>
      <c r="CK37">
        <f t="shared" si="28"/>
        <v>5175</v>
      </c>
      <c r="CM37">
        <v>6</v>
      </c>
      <c r="CN37" s="4">
        <v>21108000</v>
      </c>
      <c r="CO37" s="4">
        <f t="shared" si="29"/>
        <v>1332639</v>
      </c>
      <c r="CP37" s="3">
        <f t="shared" si="30"/>
        <v>101095.5</v>
      </c>
      <c r="CQ37" s="4">
        <f t="shared" si="31"/>
        <v>19674265.5</v>
      </c>
      <c r="CR37" s="66">
        <f t="shared" si="0"/>
        <v>85</v>
      </c>
      <c r="CS37" s="66">
        <f t="shared" si="1"/>
        <v>83</v>
      </c>
      <c r="CT37" s="4">
        <f t="shared" si="32"/>
        <v>1051828.8</v>
      </c>
      <c r="CU37" s="4">
        <f t="shared" si="33"/>
        <v>1395470.01</v>
      </c>
      <c r="CV37" s="4">
        <f t="shared" si="34"/>
        <v>17226966.689999998</v>
      </c>
      <c r="CW37">
        <f t="shared" si="35"/>
        <v>193.97207762771473</v>
      </c>
      <c r="CY37">
        <f t="shared" si="36"/>
        <v>103400.96025214277</v>
      </c>
      <c r="CZ37" s="3">
        <f t="shared" si="37"/>
        <v>2658697.1904832209</v>
      </c>
      <c r="DA37" s="3">
        <f t="shared" si="38"/>
        <v>677708.58546317939</v>
      </c>
      <c r="DB37" s="3">
        <f t="shared" si="39"/>
        <v>17015568.309516776</v>
      </c>
      <c r="DF37">
        <v>17</v>
      </c>
      <c r="DG37" s="79" t="s">
        <v>696</v>
      </c>
      <c r="DH37" s="122">
        <v>75</v>
      </c>
      <c r="DI37" s="122">
        <v>6467</v>
      </c>
      <c r="DJ37" s="124">
        <f>+$DJ$38*DI37/$DI$38</f>
        <v>10852.127802389583</v>
      </c>
      <c r="DK37" s="123"/>
      <c r="DL37" s="31">
        <v>46160</v>
      </c>
      <c r="DN37" s="129"/>
    </row>
    <row r="38" spans="1:161" x14ac:dyDescent="0.55000000000000004">
      <c r="A38" t="s">
        <v>1</v>
      </c>
      <c r="B38" t="s">
        <v>3</v>
      </c>
      <c r="C38" s="31">
        <v>45992</v>
      </c>
      <c r="D38" s="31" t="s">
        <v>329</v>
      </c>
      <c r="E38" s="119">
        <v>1414452.9500000002</v>
      </c>
      <c r="F38" s="119" t="s">
        <v>13</v>
      </c>
      <c r="G38" s="37"/>
      <c r="H38" s="3">
        <f t="shared" si="2"/>
        <v>21107999.999999996</v>
      </c>
      <c r="I38" s="4">
        <f t="shared" si="3"/>
        <v>2658697.1904832209</v>
      </c>
      <c r="J38">
        <v>85</v>
      </c>
      <c r="K38" s="4">
        <f t="shared" si="4"/>
        <v>17015568.309516776</v>
      </c>
      <c r="L38">
        <v>83</v>
      </c>
      <c r="M38" s="4">
        <f t="shared" si="5"/>
        <v>101095.5</v>
      </c>
      <c r="N38" s="3">
        <v>1332639</v>
      </c>
      <c r="P38" s="3">
        <f t="shared" si="6"/>
        <v>5887500</v>
      </c>
      <c r="Q38" s="3">
        <f t="shared" si="7"/>
        <v>4528846.153846154</v>
      </c>
      <c r="R38" s="3">
        <f t="shared" si="40"/>
        <v>1358653.8461538462</v>
      </c>
      <c r="S38" s="12">
        <f t="shared" si="41"/>
        <v>0.3</v>
      </c>
      <c r="T38" s="39">
        <f t="shared" si="42"/>
        <v>10.584581299872516</v>
      </c>
      <c r="U38" s="10"/>
      <c r="V38" s="3">
        <v>24930400</v>
      </c>
      <c r="W38" s="3">
        <v>23069157</v>
      </c>
      <c r="X38" s="4">
        <f t="shared" si="8"/>
        <v>1861243</v>
      </c>
      <c r="Z38">
        <v>18</v>
      </c>
      <c r="AA38" s="79" t="s">
        <v>696</v>
      </c>
      <c r="AB38" s="122">
        <v>85</v>
      </c>
      <c r="AC38" s="122">
        <v>7449</v>
      </c>
      <c r="AD38" s="122">
        <v>12500</v>
      </c>
      <c r="AE38" s="60">
        <v>281</v>
      </c>
      <c r="AF38" s="31">
        <v>46160</v>
      </c>
      <c r="AH38" s="3">
        <f>+AR38*L38*0.3025</f>
        <v>2862.2550000000001</v>
      </c>
      <c r="AI38" s="3">
        <f t="shared" si="43"/>
        <v>2931.2249999999999</v>
      </c>
      <c r="AJ38" s="13">
        <f t="shared" si="9"/>
        <v>0.61051968680807356</v>
      </c>
      <c r="AL38" t="s">
        <v>679</v>
      </c>
      <c r="AM38" t="s">
        <v>680</v>
      </c>
      <c r="AN38">
        <v>6700</v>
      </c>
      <c r="AO38" s="31">
        <f t="shared" si="10"/>
        <v>46160</v>
      </c>
      <c r="AP38">
        <v>111.79</v>
      </c>
      <c r="AQ38">
        <f t="shared" si="11"/>
        <v>198.1282791893596</v>
      </c>
      <c r="AR38">
        <v>114</v>
      </c>
      <c r="AS38" s="92">
        <v>0.2</v>
      </c>
      <c r="AT38" s="3">
        <f t="shared" si="12"/>
        <v>8198.9444494140789</v>
      </c>
      <c r="AU38">
        <f t="shared" si="13"/>
        <v>10814.493852966662</v>
      </c>
      <c r="AV38">
        <f t="shared" si="44"/>
        <v>-2615.5494035525826</v>
      </c>
      <c r="AZ38" s="4">
        <f t="shared" si="45"/>
        <v>-1685.5061470333394</v>
      </c>
      <c r="BB38" s="13">
        <f t="shared" si="14"/>
        <v>-0.24185592401396372</v>
      </c>
      <c r="BD38" s="15" t="s">
        <v>665</v>
      </c>
      <c r="BF38" s="3">
        <v>5887500</v>
      </c>
      <c r="BG38" s="3">
        <f t="shared" si="15"/>
        <v>4528846.153846154</v>
      </c>
      <c r="BH38" s="4">
        <f t="shared" si="16"/>
        <v>1358653.846153846</v>
      </c>
      <c r="BI38" s="10">
        <v>0.3</v>
      </c>
      <c r="BJ38" s="38">
        <f t="shared" si="17"/>
        <v>10.584581299872516</v>
      </c>
      <c r="BO38">
        <v>3934</v>
      </c>
      <c r="BP38">
        <f t="shared" si="18"/>
        <v>600</v>
      </c>
      <c r="BQ38">
        <v>4534</v>
      </c>
      <c r="BR38">
        <v>522</v>
      </c>
      <c r="BS38" s="1">
        <v>80</v>
      </c>
      <c r="BT38">
        <f t="shared" si="19"/>
        <v>453</v>
      </c>
      <c r="BU38">
        <f t="shared" si="20"/>
        <v>69</v>
      </c>
      <c r="BV38">
        <v>486</v>
      </c>
      <c r="BW38" s="22">
        <v>114</v>
      </c>
      <c r="BX38" s="22">
        <f t="shared" si="21"/>
        <v>422</v>
      </c>
      <c r="BY38" s="22">
        <f t="shared" si="22"/>
        <v>64</v>
      </c>
      <c r="BZ38" s="22">
        <v>3526</v>
      </c>
      <c r="CA38" s="22">
        <f t="shared" si="23"/>
        <v>193.97207762771473</v>
      </c>
      <c r="CB38" s="22">
        <f t="shared" si="24"/>
        <v>3059</v>
      </c>
      <c r="CC38">
        <f t="shared" si="25"/>
        <v>467</v>
      </c>
      <c r="CD38" s="1"/>
      <c r="CE38">
        <v>641</v>
      </c>
      <c r="CG38">
        <v>511</v>
      </c>
      <c r="CH38">
        <f t="shared" si="26"/>
        <v>80</v>
      </c>
      <c r="CI38">
        <v>130</v>
      </c>
      <c r="CJ38">
        <f t="shared" si="27"/>
        <v>114</v>
      </c>
      <c r="CK38">
        <f t="shared" si="28"/>
        <v>5175</v>
      </c>
      <c r="CM38">
        <v>6</v>
      </c>
      <c r="CN38" s="4">
        <v>21108000</v>
      </c>
      <c r="CO38" s="4">
        <f t="shared" si="29"/>
        <v>1332639</v>
      </c>
      <c r="CP38" s="3">
        <f t="shared" si="30"/>
        <v>101095.5</v>
      </c>
      <c r="CQ38" s="4">
        <f t="shared" si="31"/>
        <v>19674265.5</v>
      </c>
      <c r="CR38" s="66">
        <f t="shared" si="0"/>
        <v>85</v>
      </c>
      <c r="CS38" s="66">
        <f t="shared" si="1"/>
        <v>83</v>
      </c>
      <c r="CT38" s="4">
        <f t="shared" si="32"/>
        <v>1051828.8</v>
      </c>
      <c r="CU38" s="4">
        <f t="shared" si="33"/>
        <v>1395470.01</v>
      </c>
      <c r="CV38" s="4">
        <f t="shared" si="34"/>
        <v>17226966.689999998</v>
      </c>
      <c r="CW38">
        <f t="shared" si="35"/>
        <v>193.97207762771473</v>
      </c>
      <c r="CY38">
        <f t="shared" si="36"/>
        <v>103400.96025214277</v>
      </c>
      <c r="CZ38" s="3">
        <f t="shared" si="37"/>
        <v>2658697.1904832209</v>
      </c>
      <c r="DA38" s="3">
        <f t="shared" si="38"/>
        <v>677708.58546317939</v>
      </c>
      <c r="DB38" s="3">
        <f t="shared" si="39"/>
        <v>17015568.309516776</v>
      </c>
      <c r="DF38">
        <v>18</v>
      </c>
      <c r="DG38" s="79" t="s">
        <v>696</v>
      </c>
      <c r="DH38" s="122">
        <v>93</v>
      </c>
      <c r="DI38" s="122">
        <v>7449</v>
      </c>
      <c r="DJ38" s="122">
        <v>12500</v>
      </c>
      <c r="DK38" s="123">
        <v>281</v>
      </c>
      <c r="DL38" s="31">
        <v>46160</v>
      </c>
      <c r="DM38" s="11">
        <f>+DJ38/DH38</f>
        <v>134.40860215053763</v>
      </c>
      <c r="DN38" s="129"/>
    </row>
    <row r="39" spans="1:161" x14ac:dyDescent="0.55000000000000004">
      <c r="A39" t="s">
        <v>1</v>
      </c>
      <c r="B39" t="s">
        <v>3</v>
      </c>
      <c r="C39" s="31">
        <v>45992</v>
      </c>
      <c r="D39" s="31" t="s">
        <v>329</v>
      </c>
      <c r="E39" s="119">
        <v>1414452.9500000002</v>
      </c>
      <c r="F39" s="119" t="s">
        <v>13</v>
      </c>
      <c r="G39" s="37"/>
      <c r="H39" s="3">
        <f t="shared" si="2"/>
        <v>21107999.999999996</v>
      </c>
      <c r="I39" s="4">
        <f t="shared" si="3"/>
        <v>2658697.1904832209</v>
      </c>
      <c r="J39">
        <v>85</v>
      </c>
      <c r="K39" s="4">
        <f t="shared" si="4"/>
        <v>17015568.309516776</v>
      </c>
      <c r="L39">
        <v>83</v>
      </c>
      <c r="M39" s="4">
        <f t="shared" si="5"/>
        <v>101095.5</v>
      </c>
      <c r="N39" s="3">
        <v>1332639</v>
      </c>
      <c r="P39" s="3">
        <f t="shared" si="6"/>
        <v>5887500</v>
      </c>
      <c r="Q39" s="3">
        <f t="shared" si="7"/>
        <v>4528846.153846154</v>
      </c>
      <c r="R39" s="3">
        <f t="shared" si="40"/>
        <v>1358653.8461538462</v>
      </c>
      <c r="S39" s="12">
        <f t="shared" si="41"/>
        <v>0.3</v>
      </c>
      <c r="T39" s="39">
        <f t="shared" si="42"/>
        <v>10.584581299872516</v>
      </c>
      <c r="U39" s="10"/>
      <c r="V39" s="3">
        <v>24930400</v>
      </c>
      <c r="W39" s="3">
        <v>23069157</v>
      </c>
      <c r="X39" s="4">
        <f t="shared" si="8"/>
        <v>1861243</v>
      </c>
      <c r="Z39">
        <v>19</v>
      </c>
      <c r="AA39" s="79" t="s">
        <v>697</v>
      </c>
      <c r="AB39" s="122">
        <v>75</v>
      </c>
      <c r="AC39" s="122">
        <v>5499</v>
      </c>
      <c r="AD39" s="122">
        <f>+DJ39</f>
        <v>9227.7486910994758</v>
      </c>
      <c r="AE39" s="60" t="s">
        <v>701</v>
      </c>
      <c r="AF39" s="31">
        <v>46160</v>
      </c>
      <c r="AH39" s="3">
        <f>+AR39*L39*0.3025</f>
        <v>2862.2550000000001</v>
      </c>
      <c r="AI39" s="3">
        <f t="shared" si="43"/>
        <v>2931.2249999999999</v>
      </c>
      <c r="AJ39" s="13">
        <f t="shared" si="9"/>
        <v>0.61051968680807356</v>
      </c>
      <c r="AL39" t="s">
        <v>679</v>
      </c>
      <c r="AM39" t="s">
        <v>680</v>
      </c>
      <c r="AN39">
        <v>6700</v>
      </c>
      <c r="AO39" s="31">
        <f t="shared" si="10"/>
        <v>46160</v>
      </c>
      <c r="AP39">
        <v>111.79</v>
      </c>
      <c r="AQ39">
        <f t="shared" si="11"/>
        <v>198.1282791893596</v>
      </c>
      <c r="AR39">
        <v>114</v>
      </c>
      <c r="AS39" s="92">
        <v>0.2</v>
      </c>
      <c r="AT39" s="3">
        <f t="shared" si="12"/>
        <v>8198.9444494140789</v>
      </c>
      <c r="AU39">
        <f t="shared" si="13"/>
        <v>8732.7559333418794</v>
      </c>
      <c r="AV39">
        <f t="shared" si="44"/>
        <v>-533.81148392780051</v>
      </c>
      <c r="AZ39" s="4">
        <f t="shared" si="45"/>
        <v>-494.99275775759634</v>
      </c>
      <c r="BB39" s="13">
        <f t="shared" si="14"/>
        <v>-6.1127493772005582E-2</v>
      </c>
      <c r="BD39" s="15" t="s">
        <v>665</v>
      </c>
      <c r="BF39" s="3">
        <v>5887500</v>
      </c>
      <c r="BG39" s="3">
        <f t="shared" si="15"/>
        <v>4528846.153846154</v>
      </c>
      <c r="BH39" s="4">
        <f t="shared" si="16"/>
        <v>1358653.846153846</v>
      </c>
      <c r="BI39" s="10">
        <v>0.3</v>
      </c>
      <c r="BJ39" s="38">
        <f t="shared" si="17"/>
        <v>10.584581299872516</v>
      </c>
      <c r="BO39">
        <v>3934</v>
      </c>
      <c r="BP39">
        <f t="shared" si="18"/>
        <v>600</v>
      </c>
      <c r="BQ39">
        <v>4534</v>
      </c>
      <c r="BR39">
        <v>522</v>
      </c>
      <c r="BS39" s="1">
        <v>80</v>
      </c>
      <c r="BT39">
        <f t="shared" si="19"/>
        <v>453</v>
      </c>
      <c r="BU39">
        <f t="shared" si="20"/>
        <v>69</v>
      </c>
      <c r="BV39">
        <v>486</v>
      </c>
      <c r="BW39" s="22">
        <v>114</v>
      </c>
      <c r="BX39" s="22">
        <f t="shared" si="21"/>
        <v>422</v>
      </c>
      <c r="BY39" s="22">
        <f t="shared" si="22"/>
        <v>64</v>
      </c>
      <c r="BZ39" s="22">
        <v>3526</v>
      </c>
      <c r="CA39" s="22">
        <f t="shared" si="23"/>
        <v>193.97207762771473</v>
      </c>
      <c r="CB39" s="22">
        <f t="shared" si="24"/>
        <v>3059</v>
      </c>
      <c r="CC39">
        <f t="shared" si="25"/>
        <v>467</v>
      </c>
      <c r="CD39" s="1"/>
      <c r="CE39">
        <v>641</v>
      </c>
      <c r="CG39">
        <v>511</v>
      </c>
      <c r="CH39">
        <f t="shared" si="26"/>
        <v>80</v>
      </c>
      <c r="CI39">
        <v>130</v>
      </c>
      <c r="CJ39">
        <f t="shared" si="27"/>
        <v>114</v>
      </c>
      <c r="CK39">
        <f t="shared" si="28"/>
        <v>5175</v>
      </c>
      <c r="CM39">
        <v>6</v>
      </c>
      <c r="CN39" s="4">
        <v>21108000</v>
      </c>
      <c r="CO39" s="4">
        <f t="shared" si="29"/>
        <v>1332639</v>
      </c>
      <c r="CP39" s="3">
        <f t="shared" si="30"/>
        <v>101095.5</v>
      </c>
      <c r="CQ39" s="4">
        <f t="shared" si="31"/>
        <v>19674265.5</v>
      </c>
      <c r="CR39" s="66">
        <f t="shared" si="0"/>
        <v>85</v>
      </c>
      <c r="CS39" s="66">
        <f t="shared" si="1"/>
        <v>83</v>
      </c>
      <c r="CT39" s="4">
        <f t="shared" si="32"/>
        <v>1051828.8</v>
      </c>
      <c r="CU39" s="4">
        <f t="shared" si="33"/>
        <v>1395470.01</v>
      </c>
      <c r="CV39" s="4">
        <f t="shared" si="34"/>
        <v>17226966.689999998</v>
      </c>
      <c r="CW39">
        <f t="shared" si="35"/>
        <v>193.97207762771473</v>
      </c>
      <c r="CY39">
        <f>+(BS39*BU39+BW39*BY39+CA39*CC39)</f>
        <v>103400.96025214277</v>
      </c>
      <c r="CZ39" s="3">
        <f t="shared" si="37"/>
        <v>2658697.1904832209</v>
      </c>
      <c r="DA39" s="3">
        <f>+(BS39*BT39+BW39*BX39+CA39*CB39)</f>
        <v>677708.58546317939</v>
      </c>
      <c r="DB39" s="3">
        <f t="shared" si="39"/>
        <v>17015568.309516776</v>
      </c>
      <c r="DF39">
        <v>19</v>
      </c>
      <c r="DG39" s="79" t="s">
        <v>697</v>
      </c>
      <c r="DH39" s="122">
        <v>75</v>
      </c>
      <c r="DI39" s="122">
        <v>5499</v>
      </c>
      <c r="DJ39" s="124">
        <f>+$DJ$38*DI39/$DI$38</f>
        <v>9227.7486910994758</v>
      </c>
      <c r="DK39" s="123"/>
      <c r="DL39" s="31">
        <v>46160</v>
      </c>
      <c r="DN39" s="129"/>
    </row>
    <row r="40" spans="1:161" x14ac:dyDescent="0.55000000000000004">
      <c r="A40" t="s">
        <v>1</v>
      </c>
      <c r="B40" t="s">
        <v>3</v>
      </c>
      <c r="C40" s="31">
        <v>45992</v>
      </c>
      <c r="D40" s="31" t="s">
        <v>329</v>
      </c>
      <c r="E40" s="119">
        <v>1414452.9500000002</v>
      </c>
      <c r="F40" s="119" t="s">
        <v>13</v>
      </c>
      <c r="G40" s="37"/>
      <c r="H40" s="3">
        <f t="shared" si="2"/>
        <v>21107999.999999996</v>
      </c>
      <c r="I40" s="4">
        <f t="shared" si="3"/>
        <v>2658697.1904832209</v>
      </c>
      <c r="J40">
        <v>85</v>
      </c>
      <c r="K40" s="4">
        <f t="shared" si="4"/>
        <v>17015568.309516776</v>
      </c>
      <c r="L40">
        <v>83</v>
      </c>
      <c r="M40" s="4">
        <f t="shared" si="5"/>
        <v>101095.5</v>
      </c>
      <c r="N40" s="3">
        <v>1332639</v>
      </c>
      <c r="P40" s="3">
        <f t="shared" si="6"/>
        <v>5887500</v>
      </c>
      <c r="Q40" s="3">
        <f t="shared" si="7"/>
        <v>4528846.153846154</v>
      </c>
      <c r="R40" s="3">
        <f t="shared" si="40"/>
        <v>1358653.8461538462</v>
      </c>
      <c r="S40" s="12">
        <f t="shared" si="41"/>
        <v>0.3</v>
      </c>
      <c r="T40" s="39">
        <f t="shared" si="42"/>
        <v>10.584581299872516</v>
      </c>
      <c r="U40" s="10"/>
      <c r="V40" s="3">
        <v>24930400</v>
      </c>
      <c r="W40" s="3">
        <v>23069157</v>
      </c>
      <c r="X40" s="4">
        <f t="shared" si="8"/>
        <v>1861243</v>
      </c>
      <c r="Z40">
        <v>20</v>
      </c>
      <c r="AA40" s="79" t="s">
        <v>697</v>
      </c>
      <c r="AB40" s="122">
        <v>93</v>
      </c>
      <c r="AC40" s="122">
        <v>6602</v>
      </c>
      <c r="AD40" s="122">
        <f>+DJ40</f>
        <v>11078.668277621156</v>
      </c>
      <c r="AE40" s="60" t="s">
        <v>701</v>
      </c>
      <c r="AF40" s="31">
        <v>46160</v>
      </c>
      <c r="AH40" s="3">
        <f>+AR40*L40*0.3025</f>
        <v>2862.2550000000001</v>
      </c>
      <c r="AI40" s="3">
        <f t="shared" si="43"/>
        <v>2931.2249999999999</v>
      </c>
      <c r="AJ40" s="13">
        <f t="shared" si="9"/>
        <v>0.61051968680807356</v>
      </c>
      <c r="AL40" t="s">
        <v>679</v>
      </c>
      <c r="AM40" t="s">
        <v>680</v>
      </c>
      <c r="AN40">
        <v>6700</v>
      </c>
      <c r="AO40" s="31">
        <f t="shared" si="10"/>
        <v>46160</v>
      </c>
      <c r="AP40">
        <v>111.79</v>
      </c>
      <c r="AQ40">
        <f t="shared" si="11"/>
        <v>198.1282791893596</v>
      </c>
      <c r="AR40">
        <v>114</v>
      </c>
      <c r="AS40" s="92">
        <v>0.2</v>
      </c>
      <c r="AT40" s="3">
        <f t="shared" si="12"/>
        <v>8198.9444494140789</v>
      </c>
      <c r="AU40">
        <f t="shared" si="13"/>
        <v>9910.2723053142545</v>
      </c>
      <c r="AV40">
        <f t="shared" si="44"/>
        <v>-1711.3278559001756</v>
      </c>
      <c r="AZ40" s="4">
        <f t="shared" si="45"/>
        <v>-1168.3959723069015</v>
      </c>
      <c r="BB40" s="13">
        <f t="shared" si="14"/>
        <v>-0.17268222337165229</v>
      </c>
      <c r="BD40" s="15" t="s">
        <v>665</v>
      </c>
      <c r="BF40" s="3">
        <v>5887500</v>
      </c>
      <c r="BG40" s="3">
        <f t="shared" si="15"/>
        <v>4528846.153846154</v>
      </c>
      <c r="BH40" s="4">
        <f t="shared" si="16"/>
        <v>1358653.846153846</v>
      </c>
      <c r="BI40" s="10">
        <v>0.3</v>
      </c>
      <c r="BJ40" s="38">
        <f t="shared" si="17"/>
        <v>10.584581299872516</v>
      </c>
      <c r="BO40">
        <v>3934</v>
      </c>
      <c r="BP40">
        <f t="shared" si="18"/>
        <v>600</v>
      </c>
      <c r="BQ40">
        <v>4534</v>
      </c>
      <c r="BR40">
        <v>522</v>
      </c>
      <c r="BS40" s="1">
        <v>80</v>
      </c>
      <c r="BT40">
        <f t="shared" si="19"/>
        <v>453</v>
      </c>
      <c r="BU40">
        <f t="shared" si="20"/>
        <v>69</v>
      </c>
      <c r="BV40">
        <v>486</v>
      </c>
      <c r="BW40" s="22">
        <v>114</v>
      </c>
      <c r="BX40" s="22">
        <f t="shared" si="21"/>
        <v>422</v>
      </c>
      <c r="BY40" s="22">
        <f t="shared" si="22"/>
        <v>64</v>
      </c>
      <c r="BZ40" s="22">
        <v>3526</v>
      </c>
      <c r="CA40" s="22">
        <f t="shared" si="23"/>
        <v>193.97207762771473</v>
      </c>
      <c r="CB40" s="22">
        <f t="shared" si="24"/>
        <v>3059</v>
      </c>
      <c r="CC40">
        <f t="shared" si="25"/>
        <v>467</v>
      </c>
      <c r="CD40" s="1"/>
      <c r="CE40">
        <v>641</v>
      </c>
      <c r="CG40">
        <v>511</v>
      </c>
      <c r="CH40">
        <f t="shared" si="26"/>
        <v>80</v>
      </c>
      <c r="CI40">
        <v>130</v>
      </c>
      <c r="CJ40">
        <f t="shared" si="27"/>
        <v>114</v>
      </c>
      <c r="CK40">
        <f t="shared" si="28"/>
        <v>5175</v>
      </c>
      <c r="CM40">
        <v>6</v>
      </c>
      <c r="CN40" s="4">
        <v>21108000</v>
      </c>
      <c r="CO40" s="4">
        <f t="shared" si="29"/>
        <v>1332639</v>
      </c>
      <c r="CP40" s="3">
        <f t="shared" si="30"/>
        <v>101095.5</v>
      </c>
      <c r="CQ40" s="4">
        <f t="shared" si="31"/>
        <v>19674265.5</v>
      </c>
      <c r="CR40" s="66">
        <f t="shared" si="0"/>
        <v>85</v>
      </c>
      <c r="CS40" s="66">
        <f t="shared" si="1"/>
        <v>83</v>
      </c>
      <c r="CT40" s="4">
        <f t="shared" si="32"/>
        <v>1051828.8</v>
      </c>
      <c r="CU40" s="4">
        <f t="shared" si="33"/>
        <v>1395470.01</v>
      </c>
      <c r="CV40" s="4">
        <f t="shared" si="34"/>
        <v>17226966.689999998</v>
      </c>
      <c r="CW40">
        <f t="shared" si="35"/>
        <v>193.97207762771473</v>
      </c>
      <c r="CY40">
        <f t="shared" ref="CY40:CY42" si="46">+(BS40*BU40+BW40*BY40+CA40*CC40)</f>
        <v>103400.96025214277</v>
      </c>
      <c r="CZ40" s="3">
        <f t="shared" si="37"/>
        <v>2658697.1904832209</v>
      </c>
      <c r="DA40" s="3">
        <f t="shared" ref="DA40:DA42" si="47">+(BS40*BT40+BW40*BX40+CA40*CB40)</f>
        <v>677708.58546317939</v>
      </c>
      <c r="DB40" s="3">
        <f t="shared" si="39"/>
        <v>17015568.309516776</v>
      </c>
      <c r="DF40">
        <v>20</v>
      </c>
      <c r="DG40" s="79" t="s">
        <v>697</v>
      </c>
      <c r="DH40" s="122">
        <v>93</v>
      </c>
      <c r="DI40" s="122">
        <v>6602</v>
      </c>
      <c r="DJ40" s="124">
        <f>+$DJ$38*DI40/$DI$38</f>
        <v>11078.668277621156</v>
      </c>
      <c r="DK40" s="123"/>
      <c r="DL40" s="31">
        <v>46160</v>
      </c>
      <c r="DN40" s="129"/>
    </row>
    <row r="41" spans="1:161" x14ac:dyDescent="0.55000000000000004">
      <c r="A41" t="s">
        <v>1</v>
      </c>
      <c r="B41" t="s">
        <v>3</v>
      </c>
      <c r="C41" s="31">
        <v>45992</v>
      </c>
      <c r="D41" s="31" t="s">
        <v>329</v>
      </c>
      <c r="E41" s="118">
        <v>1414452.9500000002</v>
      </c>
      <c r="F41" s="118" t="s">
        <v>13</v>
      </c>
      <c r="G41" s="37"/>
      <c r="H41" s="3">
        <f t="shared" si="2"/>
        <v>21107999.999999996</v>
      </c>
      <c r="I41" s="4">
        <f t="shared" si="3"/>
        <v>2658697.1904832209</v>
      </c>
      <c r="J41">
        <v>85</v>
      </c>
      <c r="K41" s="4">
        <f t="shared" si="4"/>
        <v>17015568.309516776</v>
      </c>
      <c r="L41">
        <v>83</v>
      </c>
      <c r="M41" s="4">
        <f t="shared" si="5"/>
        <v>101095.5</v>
      </c>
      <c r="N41" s="3">
        <v>1332639</v>
      </c>
      <c r="P41" s="3">
        <f t="shared" si="6"/>
        <v>5887500</v>
      </c>
      <c r="Q41" s="3">
        <f t="shared" si="7"/>
        <v>4528846.153846154</v>
      </c>
      <c r="R41" s="3">
        <f t="shared" si="40"/>
        <v>1358653.8461538462</v>
      </c>
      <c r="S41" s="12">
        <f t="shared" si="41"/>
        <v>0.3</v>
      </c>
      <c r="T41" s="39">
        <f t="shared" si="42"/>
        <v>10.584581299872516</v>
      </c>
      <c r="U41" s="10"/>
      <c r="V41" s="3">
        <v>24930400</v>
      </c>
      <c r="W41" s="3">
        <v>23069157</v>
      </c>
      <c r="X41" s="4">
        <f t="shared" si="8"/>
        <v>1861243</v>
      </c>
      <c r="Z41">
        <v>21</v>
      </c>
      <c r="AA41" s="79" t="s">
        <v>698</v>
      </c>
      <c r="AB41" s="122">
        <v>73</v>
      </c>
      <c r="AC41" s="122">
        <v>5490</v>
      </c>
      <c r="AD41" s="122">
        <f>+DJ41</f>
        <v>9212.645992750704</v>
      </c>
      <c r="AE41" s="60" t="s">
        <v>701</v>
      </c>
      <c r="AF41" s="31">
        <v>46160</v>
      </c>
      <c r="AH41" s="3">
        <f>+AR41*L41*0.3025</f>
        <v>2862.2550000000001</v>
      </c>
      <c r="AI41" s="3">
        <f t="shared" si="43"/>
        <v>2931.2249999999999</v>
      </c>
      <c r="AJ41" s="13">
        <f t="shared" si="9"/>
        <v>0.61051968680807356</v>
      </c>
      <c r="AL41" t="s">
        <v>679</v>
      </c>
      <c r="AM41" t="s">
        <v>680</v>
      </c>
      <c r="AN41">
        <v>6700</v>
      </c>
      <c r="AO41" s="31">
        <f t="shared" si="10"/>
        <v>46160</v>
      </c>
      <c r="AP41">
        <v>111.79</v>
      </c>
      <c r="AQ41">
        <f t="shared" si="11"/>
        <v>198.1282791893596</v>
      </c>
      <c r="AR41">
        <v>114</v>
      </c>
      <c r="AS41" s="92">
        <v>0.2</v>
      </c>
      <c r="AT41" s="3">
        <f t="shared" si="12"/>
        <v>8198.9444494140789</v>
      </c>
      <c r="AU41">
        <f t="shared" si="13"/>
        <v>8723.1479121743796</v>
      </c>
      <c r="AV41">
        <f t="shared" si="44"/>
        <v>-524.20346276030068</v>
      </c>
      <c r="AZ41" s="4">
        <f t="shared" si="45"/>
        <v>-489.4980805763239</v>
      </c>
      <c r="BB41" s="13">
        <f t="shared" si="14"/>
        <v>-6.0093382347523996E-2</v>
      </c>
      <c r="BD41" s="15" t="s">
        <v>665</v>
      </c>
      <c r="BF41" s="3">
        <v>5887500</v>
      </c>
      <c r="BG41" s="3">
        <f t="shared" si="15"/>
        <v>4528846.153846154</v>
      </c>
      <c r="BH41" s="4">
        <f t="shared" si="16"/>
        <v>1358653.846153846</v>
      </c>
      <c r="BI41" s="10">
        <v>0.3</v>
      </c>
      <c r="BJ41" s="38">
        <f t="shared" si="17"/>
        <v>10.584581299872516</v>
      </c>
      <c r="BO41">
        <v>3934</v>
      </c>
      <c r="BP41">
        <f t="shared" si="18"/>
        <v>600</v>
      </c>
      <c r="BQ41">
        <v>4534</v>
      </c>
      <c r="BR41">
        <v>522</v>
      </c>
      <c r="BS41" s="1">
        <v>80</v>
      </c>
      <c r="BT41">
        <f t="shared" si="19"/>
        <v>453</v>
      </c>
      <c r="BU41">
        <f t="shared" si="20"/>
        <v>69</v>
      </c>
      <c r="BV41">
        <v>486</v>
      </c>
      <c r="BW41" s="22">
        <v>114</v>
      </c>
      <c r="BX41" s="22">
        <f t="shared" si="21"/>
        <v>422</v>
      </c>
      <c r="BY41" s="22">
        <f t="shared" si="22"/>
        <v>64</v>
      </c>
      <c r="BZ41" s="22">
        <v>3526</v>
      </c>
      <c r="CA41" s="22">
        <f t="shared" si="23"/>
        <v>193.97207762771473</v>
      </c>
      <c r="CB41" s="22">
        <f t="shared" si="24"/>
        <v>3059</v>
      </c>
      <c r="CC41">
        <f t="shared" si="25"/>
        <v>467</v>
      </c>
      <c r="CD41" s="1"/>
      <c r="CE41">
        <v>641</v>
      </c>
      <c r="CG41">
        <v>511</v>
      </c>
      <c r="CH41">
        <f t="shared" si="26"/>
        <v>80</v>
      </c>
      <c r="CI41">
        <v>130</v>
      </c>
      <c r="CJ41">
        <f t="shared" si="27"/>
        <v>114</v>
      </c>
      <c r="CK41">
        <f t="shared" si="28"/>
        <v>5175</v>
      </c>
      <c r="CM41">
        <v>6</v>
      </c>
      <c r="CN41" s="4">
        <v>21108000</v>
      </c>
      <c r="CO41" s="4">
        <f t="shared" si="29"/>
        <v>1332639</v>
      </c>
      <c r="CP41" s="3">
        <f t="shared" si="30"/>
        <v>101095.5</v>
      </c>
      <c r="CQ41" s="4">
        <f t="shared" si="31"/>
        <v>19674265.5</v>
      </c>
      <c r="CR41" s="66">
        <f t="shared" si="0"/>
        <v>85</v>
      </c>
      <c r="CS41" s="66">
        <f t="shared" si="1"/>
        <v>83</v>
      </c>
      <c r="CT41" s="4">
        <f t="shared" si="32"/>
        <v>1051828.8</v>
      </c>
      <c r="CU41" s="4">
        <f t="shared" si="33"/>
        <v>1395470.01</v>
      </c>
      <c r="CV41" s="4">
        <f t="shared" si="34"/>
        <v>17226966.689999998</v>
      </c>
      <c r="CW41">
        <f t="shared" si="35"/>
        <v>193.97207762771473</v>
      </c>
      <c r="CY41">
        <f t="shared" si="46"/>
        <v>103400.96025214277</v>
      </c>
      <c r="CZ41" s="3">
        <f t="shared" si="37"/>
        <v>2658697.1904832209</v>
      </c>
      <c r="DA41" s="3">
        <f t="shared" si="47"/>
        <v>677708.58546317939</v>
      </c>
      <c r="DB41" s="3">
        <f t="shared" si="39"/>
        <v>17015568.309516776</v>
      </c>
      <c r="DF41">
        <v>21</v>
      </c>
      <c r="DG41" s="79" t="s">
        <v>698</v>
      </c>
      <c r="DH41" s="122">
        <v>73</v>
      </c>
      <c r="DI41" s="122">
        <v>5490</v>
      </c>
      <c r="DJ41" s="124">
        <f>+$DJ$38*DI41/$DI$38</f>
        <v>9212.645992750704</v>
      </c>
      <c r="DK41" s="123"/>
      <c r="DL41" s="31">
        <v>46160</v>
      </c>
      <c r="DN41" s="129"/>
    </row>
    <row r="42" spans="1:161" x14ac:dyDescent="0.55000000000000004">
      <c r="A42" t="s">
        <v>1</v>
      </c>
      <c r="B42" t="s">
        <v>3</v>
      </c>
      <c r="C42" s="31">
        <v>45992</v>
      </c>
      <c r="D42" s="31" t="s">
        <v>329</v>
      </c>
      <c r="E42" s="119">
        <v>1414452.9500000002</v>
      </c>
      <c r="F42" s="119" t="s">
        <v>13</v>
      </c>
      <c r="G42" s="37"/>
      <c r="H42" s="3">
        <f t="shared" si="2"/>
        <v>21107999.999999996</v>
      </c>
      <c r="I42" s="4">
        <f t="shared" si="3"/>
        <v>2658697.1904832209</v>
      </c>
      <c r="J42">
        <v>85</v>
      </c>
      <c r="K42" s="4">
        <f t="shared" si="4"/>
        <v>17015568.309516776</v>
      </c>
      <c r="L42">
        <v>83</v>
      </c>
      <c r="M42" s="4">
        <f t="shared" si="5"/>
        <v>101095.5</v>
      </c>
      <c r="N42" s="3">
        <v>1332639</v>
      </c>
      <c r="P42" s="3">
        <f>+Q42+R42</f>
        <v>5887500</v>
      </c>
      <c r="Q42" s="3">
        <f t="shared" si="7"/>
        <v>4528846.153846154</v>
      </c>
      <c r="R42" s="3">
        <f t="shared" si="40"/>
        <v>1358653.8461538462</v>
      </c>
      <c r="S42" s="12">
        <f t="shared" si="41"/>
        <v>0.3</v>
      </c>
      <c r="T42" s="39">
        <f>+BJ42</f>
        <v>10.584581299872516</v>
      </c>
      <c r="U42" s="10"/>
      <c r="V42" s="3">
        <v>24930400</v>
      </c>
      <c r="W42" s="3">
        <v>23069157</v>
      </c>
      <c r="X42" s="4">
        <f t="shared" si="8"/>
        <v>1861243</v>
      </c>
      <c r="Z42">
        <v>22</v>
      </c>
      <c r="AA42" s="79" t="s">
        <v>698</v>
      </c>
      <c r="AB42" s="122">
        <v>87</v>
      </c>
      <c r="AC42" s="122">
        <v>6403</v>
      </c>
      <c r="AD42" s="122">
        <f>+DJ42</f>
        <v>10744.730836353872</v>
      </c>
      <c r="AE42" s="60" t="s">
        <v>701</v>
      </c>
      <c r="AF42" s="31">
        <v>46160</v>
      </c>
      <c r="AH42" s="3">
        <f>+AR42*L42*0.3025</f>
        <v>2862.2550000000001</v>
      </c>
      <c r="AI42" s="3">
        <f t="shared" si="43"/>
        <v>2931.2249999999999</v>
      </c>
      <c r="AJ42" s="13">
        <f t="shared" si="9"/>
        <v>0.61051968680807356</v>
      </c>
      <c r="AL42" t="s">
        <v>679</v>
      </c>
      <c r="AM42" t="s">
        <v>680</v>
      </c>
      <c r="AN42">
        <v>6700</v>
      </c>
      <c r="AO42" s="31">
        <f t="shared" si="10"/>
        <v>46160</v>
      </c>
      <c r="AP42">
        <v>111.79</v>
      </c>
      <c r="AQ42">
        <f t="shared" si="11"/>
        <v>198.1282791893596</v>
      </c>
      <c r="AR42">
        <v>114</v>
      </c>
      <c r="AS42" s="92">
        <v>0.2</v>
      </c>
      <c r="AT42" s="3">
        <f t="shared" si="12"/>
        <v>8198.9444494140789</v>
      </c>
      <c r="AU42">
        <f t="shared" si="13"/>
        <v>9697.8282817217769</v>
      </c>
      <c r="AV42">
        <f t="shared" si="44"/>
        <v>-1498.883832307698</v>
      </c>
      <c r="AZ42" s="4">
        <f t="shared" si="45"/>
        <v>-1046.902554632095</v>
      </c>
      <c r="BB42" s="13">
        <f t="shared" si="14"/>
        <v>-0.15455871033855659</v>
      </c>
      <c r="BD42" s="15" t="s">
        <v>665</v>
      </c>
      <c r="BF42" s="3">
        <v>5887500</v>
      </c>
      <c r="BG42" s="3">
        <f t="shared" si="15"/>
        <v>4528846.153846154</v>
      </c>
      <c r="BH42" s="4">
        <f t="shared" si="16"/>
        <v>1358653.846153846</v>
      </c>
      <c r="BI42" s="10">
        <v>0.3</v>
      </c>
      <c r="BJ42" s="38">
        <f t="shared" si="17"/>
        <v>10.584581299872516</v>
      </c>
      <c r="BO42">
        <v>3934</v>
      </c>
      <c r="BP42">
        <f t="shared" si="18"/>
        <v>600</v>
      </c>
      <c r="BQ42">
        <v>4534</v>
      </c>
      <c r="BR42">
        <v>522</v>
      </c>
      <c r="BS42" s="1">
        <v>80</v>
      </c>
      <c r="BT42">
        <f t="shared" si="19"/>
        <v>453</v>
      </c>
      <c r="BU42">
        <f t="shared" si="20"/>
        <v>69</v>
      </c>
      <c r="BV42">
        <v>486</v>
      </c>
      <c r="BW42" s="22">
        <v>114</v>
      </c>
      <c r="BX42" s="22">
        <f t="shared" si="21"/>
        <v>422</v>
      </c>
      <c r="BY42" s="22">
        <f t="shared" si="22"/>
        <v>64</v>
      </c>
      <c r="BZ42" s="22">
        <v>3526</v>
      </c>
      <c r="CA42" s="22">
        <f t="shared" si="23"/>
        <v>193.97207762771473</v>
      </c>
      <c r="CB42" s="22">
        <f t="shared" si="24"/>
        <v>3059</v>
      </c>
      <c r="CC42">
        <f t="shared" si="25"/>
        <v>467</v>
      </c>
      <c r="CD42" s="1"/>
      <c r="CE42">
        <v>641</v>
      </c>
      <c r="CG42">
        <v>511</v>
      </c>
      <c r="CH42">
        <f t="shared" si="26"/>
        <v>80</v>
      </c>
      <c r="CI42">
        <v>130</v>
      </c>
      <c r="CJ42">
        <f t="shared" si="27"/>
        <v>114</v>
      </c>
      <c r="CK42">
        <f>+BQ42+CE42+CF42</f>
        <v>5175</v>
      </c>
      <c r="CM42">
        <v>6</v>
      </c>
      <c r="CN42" s="4">
        <v>21108000</v>
      </c>
      <c r="CO42" s="4">
        <f t="shared" si="29"/>
        <v>1332639</v>
      </c>
      <c r="CP42" s="3">
        <f t="shared" si="30"/>
        <v>101095.5</v>
      </c>
      <c r="CQ42" s="4">
        <f t="shared" si="31"/>
        <v>19674265.5</v>
      </c>
      <c r="CR42" s="66">
        <f t="shared" si="0"/>
        <v>85</v>
      </c>
      <c r="CS42" s="66">
        <f t="shared" si="1"/>
        <v>83</v>
      </c>
      <c r="CT42" s="4">
        <f t="shared" si="32"/>
        <v>1051828.8</v>
      </c>
      <c r="CU42" s="4">
        <f t="shared" si="33"/>
        <v>1395470.01</v>
      </c>
      <c r="CV42" s="4">
        <f t="shared" si="34"/>
        <v>17226966.689999998</v>
      </c>
      <c r="CW42">
        <f t="shared" si="35"/>
        <v>193.97207762771473</v>
      </c>
      <c r="CY42">
        <f t="shared" si="46"/>
        <v>103400.96025214277</v>
      </c>
      <c r="CZ42" s="3">
        <f t="shared" si="37"/>
        <v>2658697.1904832209</v>
      </c>
      <c r="DA42" s="3">
        <f t="shared" si="47"/>
        <v>677708.58546317939</v>
      </c>
      <c r="DB42" s="3">
        <f t="shared" si="39"/>
        <v>17015568.309516776</v>
      </c>
      <c r="DF42">
        <v>22</v>
      </c>
      <c r="DG42" s="79" t="s">
        <v>698</v>
      </c>
      <c r="DH42" s="122">
        <v>87</v>
      </c>
      <c r="DI42" s="122">
        <v>6403</v>
      </c>
      <c r="DJ42" s="124">
        <f>+$DJ$38*DI42/$DI$38</f>
        <v>10744.730836353872</v>
      </c>
      <c r="DK42" s="123"/>
      <c r="DL42" s="31">
        <v>46160</v>
      </c>
      <c r="DN42" s="129"/>
    </row>
    <row r="43" spans="1:161" x14ac:dyDescent="0.55000000000000004">
      <c r="C43" s="31"/>
      <c r="D43" s="31"/>
      <c r="E43" s="119"/>
      <c r="F43" s="119"/>
      <c r="G43" s="37"/>
      <c r="H43" s="3"/>
      <c r="I43" s="4"/>
      <c r="K43" s="4"/>
      <c r="M43" s="4"/>
      <c r="N43" s="3"/>
      <c r="P43" s="3"/>
      <c r="Q43" s="3"/>
      <c r="R43" s="4"/>
      <c r="S43" s="120"/>
      <c r="T43" s="121"/>
      <c r="U43" s="10"/>
      <c r="V43" s="3"/>
      <c r="W43" s="3"/>
      <c r="X43" s="4"/>
      <c r="AA43" s="79"/>
      <c r="AB43" s="122"/>
      <c r="AC43" s="122"/>
      <c r="AD43" s="122"/>
      <c r="AE43" s="60"/>
      <c r="AF43" s="31"/>
      <c r="AH43" s="3"/>
      <c r="AI43" s="3">
        <f t="shared" si="43"/>
        <v>0</v>
      </c>
      <c r="AJ43" s="13"/>
      <c r="AO43" s="31"/>
      <c r="AT43" s="3">
        <f t="shared" si="12"/>
        <v>0</v>
      </c>
      <c r="AZ43" s="4"/>
      <c r="BB43" s="13"/>
      <c r="BF43" s="3"/>
      <c r="BG43" s="3"/>
      <c r="BH43" s="4"/>
      <c r="BI43" s="10"/>
      <c r="BJ43" s="38"/>
      <c r="BS43" s="1"/>
      <c r="BW43" s="22"/>
      <c r="BX43" s="22"/>
      <c r="BY43" s="22"/>
      <c r="BZ43" s="22"/>
      <c r="CA43" s="22"/>
      <c r="CB43" s="22"/>
      <c r="CD43" s="1"/>
      <c r="CN43" s="4"/>
      <c r="CO43" s="4"/>
      <c r="CP43" s="3"/>
      <c r="CQ43" s="4"/>
      <c r="CR43" s="66"/>
      <c r="CS43" s="66"/>
      <c r="CT43" s="4"/>
      <c r="CU43" s="4"/>
      <c r="CV43" s="4"/>
      <c r="CZ43" s="3"/>
      <c r="DA43" s="3"/>
      <c r="DB43" s="3"/>
      <c r="DG43" s="79"/>
      <c r="DH43" s="122"/>
      <c r="DI43" s="122"/>
      <c r="DJ43" s="122"/>
      <c r="DK43" s="60"/>
      <c r="DL43" s="31"/>
    </row>
    <row r="44" spans="1:161" x14ac:dyDescent="0.55000000000000004">
      <c r="A44" t="s">
        <v>330</v>
      </c>
      <c r="B44" t="s">
        <v>331</v>
      </c>
      <c r="C44" s="31">
        <v>45484</v>
      </c>
      <c r="D44" s="31" t="s">
        <v>702</v>
      </c>
      <c r="E44" s="126">
        <v>446865.02</v>
      </c>
      <c r="F44" s="119" t="s">
        <v>13</v>
      </c>
      <c r="G44" s="37"/>
      <c r="H44" s="3">
        <f>+I44+K44+M44+N44</f>
        <v>4831633.8999999994</v>
      </c>
      <c r="I44" s="4">
        <f t="shared" ref="I44:I51" si="48">+J44*FD44*0.3025</f>
        <v>425175.00000000006</v>
      </c>
      <c r="J44">
        <f t="shared" ref="J44:J51" si="49">+FE44</f>
        <v>75.016295268849035</v>
      </c>
      <c r="K44" s="4">
        <f t="shared" ref="K44:K51" si="50">+EI44*L44*0.3025</f>
        <v>4271140</v>
      </c>
      <c r="L44">
        <f t="shared" ref="L44:L51" si="51">+EJ44</f>
        <v>73.284178331978637</v>
      </c>
      <c r="M44" s="4">
        <v>26328.799999999999</v>
      </c>
      <c r="N44" s="3">
        <v>108990.1</v>
      </c>
      <c r="P44" s="3">
        <f t="shared" ref="P44:P51" si="52">+Q44+R44</f>
        <v>1388214.7109999999</v>
      </c>
      <c r="Q44" s="3">
        <f t="shared" ref="Q44:Q51" si="53">+T44*E44*0.3025</f>
        <v>1280613.906</v>
      </c>
      <c r="R44" s="3">
        <f t="shared" ref="R44:R51" si="54">+Q44*S44</f>
        <v>107600.80499999998</v>
      </c>
      <c r="S44" s="12">
        <f t="shared" ref="S44:T51" si="55">+BI44</f>
        <v>8.4022830375230978E-2</v>
      </c>
      <c r="T44" s="39">
        <f t="shared" si="55"/>
        <v>9.4736312097107085</v>
      </c>
      <c r="U44" s="10"/>
      <c r="V44" s="3">
        <v>4571252</v>
      </c>
      <c r="W44" s="3">
        <v>4472520</v>
      </c>
      <c r="X44" s="4">
        <f t="shared" ref="X44:X51" si="56">+V44-W44</f>
        <v>98732</v>
      </c>
      <c r="Z44">
        <v>1</v>
      </c>
      <c r="AA44" s="79"/>
      <c r="AB44" s="34">
        <v>68.91</v>
      </c>
      <c r="AC44" s="127">
        <v>2050</v>
      </c>
      <c r="AD44" s="60">
        <v>4100</v>
      </c>
      <c r="AE44" s="60">
        <v>74</v>
      </c>
      <c r="AF44" s="31">
        <v>46160</v>
      </c>
      <c r="AH44" s="3">
        <f t="shared" ref="AH44:AH51" si="57">+AR44*L44*0.3025</f>
        <v>2527.2048897782829</v>
      </c>
      <c r="AI44" s="3">
        <f t="shared" si="43"/>
        <v>2586.9369423462585</v>
      </c>
      <c r="AJ44" s="13">
        <f t="shared" ref="AJ44:AJ51" si="58">+(H44-P44)/V44</f>
        <v>0.75327704291953257</v>
      </c>
      <c r="AL44" t="s">
        <v>679</v>
      </c>
      <c r="AM44" t="s">
        <v>680</v>
      </c>
      <c r="AN44">
        <v>6700</v>
      </c>
      <c r="AO44" s="31">
        <f t="shared" ref="AO44:AO51" si="59">+AF44</f>
        <v>46160</v>
      </c>
      <c r="AP44">
        <v>111.79</v>
      </c>
      <c r="AQ44">
        <f t="shared" ref="AQ44:AQ51" si="60">+AN44/(AP44*0.3025)</f>
        <v>198.1282791893596</v>
      </c>
      <c r="AR44">
        <v>114</v>
      </c>
      <c r="AS44" s="92">
        <v>0.1</v>
      </c>
      <c r="AT44" s="3">
        <f t="shared" si="12"/>
        <v>7515.6990786295728</v>
      </c>
      <c r="AU44">
        <f t="shared" ref="AU44:AU51" si="61">+AD44+AZ44</f>
        <v>5082.9869517932411</v>
      </c>
      <c r="AV44">
        <f t="shared" ref="AV44:AV51" si="62">+AT44-AU44</f>
        <v>2432.7121268363317</v>
      </c>
      <c r="AZ44" s="4">
        <f t="shared" ref="AZ44:AZ51" si="63">+AH44-(AC44*AJ44)</f>
        <v>982.98695179324113</v>
      </c>
      <c r="BB44" s="13">
        <f>+AV44/AU44</f>
        <v>0.47859893206652604</v>
      </c>
      <c r="BF44" s="3">
        <f t="shared" ref="BF44:BF51" si="64">+BG44+BH44</f>
        <v>1388214.7109999999</v>
      </c>
      <c r="BG44" s="3">
        <v>1280613.906</v>
      </c>
      <c r="BH44" s="4">
        <v>107600.80499999999</v>
      </c>
      <c r="BI44" s="10">
        <f t="shared" ref="BI44:BI51" si="65">+BH44/BG44</f>
        <v>8.4022830375230978E-2</v>
      </c>
      <c r="BJ44" s="38">
        <f t="shared" ref="BJ44:BJ51" si="66">+BG44/(E44*0.3025)</f>
        <v>9.4736312097107085</v>
      </c>
      <c r="BS44" s="1"/>
      <c r="BW44" s="22"/>
      <c r="BX44" s="22"/>
      <c r="BY44" s="22"/>
      <c r="BZ44" s="22"/>
      <c r="CA44" s="22"/>
      <c r="CB44" s="22"/>
      <c r="CD44" s="1"/>
      <c r="CN44" s="4"/>
      <c r="CO44" s="4"/>
      <c r="CP44" s="3"/>
      <c r="CQ44" s="4"/>
      <c r="CR44" s="66"/>
      <c r="CS44" s="66"/>
      <c r="CT44" s="4"/>
      <c r="CU44" s="4"/>
      <c r="CV44" s="4"/>
      <c r="CZ44" s="3"/>
      <c r="DA44" s="3"/>
      <c r="DB44" s="3"/>
      <c r="DG44" s="79"/>
      <c r="DH44" s="122"/>
      <c r="DI44" s="122"/>
      <c r="DJ44" s="60"/>
      <c r="DK44" s="60"/>
      <c r="DL44" s="31"/>
      <c r="DP44">
        <v>4271140</v>
      </c>
      <c r="DQ44">
        <v>336</v>
      </c>
      <c r="DR44">
        <v>88.373000000000005</v>
      </c>
      <c r="DS44">
        <v>288</v>
      </c>
      <c r="DT44">
        <v>101.773</v>
      </c>
      <c r="DU44">
        <v>200</v>
      </c>
      <c r="DV44">
        <v>113.408</v>
      </c>
      <c r="DW44">
        <v>260</v>
      </c>
      <c r="DX44">
        <v>126.758</v>
      </c>
      <c r="DY44">
        <v>150</v>
      </c>
      <c r="DZ44">
        <v>141.44300000000001</v>
      </c>
      <c r="EA44">
        <v>112</v>
      </c>
      <c r="EB44">
        <v>150.78800000000001</v>
      </c>
      <c r="EC44">
        <v>130</v>
      </c>
      <c r="ED44">
        <v>169.47800000000001</v>
      </c>
      <c r="EE44">
        <v>91</v>
      </c>
      <c r="EF44">
        <v>185.49799999999999</v>
      </c>
      <c r="EG44">
        <v>5</v>
      </c>
      <c r="EH44">
        <v>201.518</v>
      </c>
      <c r="EI44">
        <f t="shared" ref="EI44:EI51" si="67">+DQ44*DR44+DS44*DT44+DU44*DV44+DW44*DX44+DY44*DZ44+EA44*EB44+EC44*ED44+EE44*EF44+EG44*EH44</f>
        <v>192667.386</v>
      </c>
      <c r="EJ44">
        <f t="shared" ref="EJ44:EJ51" si="68">+DP44/(EI44*0.3025)</f>
        <v>73.284178331978637</v>
      </c>
      <c r="EK44">
        <v>425175</v>
      </c>
      <c r="EL44">
        <v>205</v>
      </c>
      <c r="EM44">
        <v>80.332999999999998</v>
      </c>
      <c r="EN44">
        <v>20</v>
      </c>
      <c r="EO44">
        <v>113.408</v>
      </c>
      <c r="FD44">
        <f t="shared" ref="FD44:FD50" si="69">+EL44*EM44+EN44*EO44+EP44*EQ44+ER44*ES44+ET44*EU44+EV44*EW44+EX44*EY44+EZ44*FA44+FB44*FC44</f>
        <v>18736.424999999999</v>
      </c>
      <c r="FE44">
        <f t="shared" ref="FE44:FE51" si="70">+EK44/(FD44*0.3025)</f>
        <v>75.016295268849035</v>
      </c>
    </row>
    <row r="45" spans="1:161" x14ac:dyDescent="0.55000000000000004">
      <c r="A45" t="s">
        <v>330</v>
      </c>
      <c r="B45" t="s">
        <v>331</v>
      </c>
      <c r="C45" s="31">
        <v>45484</v>
      </c>
      <c r="D45" s="31" t="s">
        <v>702</v>
      </c>
      <c r="E45" s="126">
        <v>446865.02</v>
      </c>
      <c r="F45" s="119" t="s">
        <v>13</v>
      </c>
      <c r="G45" s="37"/>
      <c r="H45" s="3">
        <f t="shared" ref="H45:H53" si="71">+I45+K45+M45+N45</f>
        <v>4831633.8999999994</v>
      </c>
      <c r="I45" s="4">
        <f t="shared" si="48"/>
        <v>425175.00000000006</v>
      </c>
      <c r="J45">
        <f t="shared" si="49"/>
        <v>75.016295268849035</v>
      </c>
      <c r="K45" s="4">
        <f t="shared" si="50"/>
        <v>4271140</v>
      </c>
      <c r="L45">
        <f t="shared" si="51"/>
        <v>73.284178331978637</v>
      </c>
      <c r="M45" s="4">
        <v>26328.799999999999</v>
      </c>
      <c r="N45" s="3">
        <v>108990.1</v>
      </c>
      <c r="P45" s="3">
        <f t="shared" si="52"/>
        <v>1388214.7109999999</v>
      </c>
      <c r="Q45" s="3">
        <f t="shared" si="53"/>
        <v>1280613.906</v>
      </c>
      <c r="R45" s="3">
        <f t="shared" si="54"/>
        <v>107600.80499999998</v>
      </c>
      <c r="S45" s="12">
        <f t="shared" si="55"/>
        <v>8.4022830375230978E-2</v>
      </c>
      <c r="T45" s="39">
        <f t="shared" si="55"/>
        <v>9.4736312097107085</v>
      </c>
      <c r="U45" s="10"/>
      <c r="V45" s="3">
        <v>4571252</v>
      </c>
      <c r="W45" s="3">
        <v>4472520</v>
      </c>
      <c r="X45" s="4">
        <f t="shared" si="56"/>
        <v>98732</v>
      </c>
      <c r="Z45">
        <v>2</v>
      </c>
      <c r="AA45" s="79"/>
      <c r="AB45" s="34">
        <v>79.42</v>
      </c>
      <c r="AC45" s="127">
        <v>2350</v>
      </c>
      <c r="AD45" s="60">
        <v>4500</v>
      </c>
      <c r="AE45" s="60">
        <v>85</v>
      </c>
      <c r="AF45" s="31">
        <v>46160</v>
      </c>
      <c r="AH45" s="3">
        <f t="shared" si="57"/>
        <v>2527.2048897782829</v>
      </c>
      <c r="AI45" s="3">
        <f t="shared" si="43"/>
        <v>2586.9369423462585</v>
      </c>
      <c r="AJ45" s="13">
        <f t="shared" si="58"/>
        <v>0.75327704291953257</v>
      </c>
      <c r="AL45" t="s">
        <v>679</v>
      </c>
      <c r="AM45" t="s">
        <v>680</v>
      </c>
      <c r="AN45">
        <v>6700</v>
      </c>
      <c r="AO45" s="31">
        <f t="shared" si="59"/>
        <v>46160</v>
      </c>
      <c r="AP45">
        <v>111.79</v>
      </c>
      <c r="AQ45">
        <f t="shared" si="60"/>
        <v>198.1282791893596</v>
      </c>
      <c r="AR45">
        <v>114</v>
      </c>
      <c r="AS45" s="92">
        <v>0.1</v>
      </c>
      <c r="AT45" s="3">
        <f t="shared" si="12"/>
        <v>7515.6990786295728</v>
      </c>
      <c r="AU45">
        <f t="shared" si="61"/>
        <v>5257.0038389173815</v>
      </c>
      <c r="AV45">
        <f t="shared" si="62"/>
        <v>2258.6952397121913</v>
      </c>
      <c r="AZ45" s="4">
        <f t="shared" si="63"/>
        <v>757.00383891738147</v>
      </c>
      <c r="BB45" s="13">
        <f t="shared" ref="BB45:BB51" si="72">+AV45/AU45</f>
        <v>0.42965447789692757</v>
      </c>
      <c r="BF45" s="3">
        <f t="shared" si="64"/>
        <v>1388214.7109999999</v>
      </c>
      <c r="BG45" s="3">
        <v>1280613.906</v>
      </c>
      <c r="BH45" s="4">
        <v>107600.80499999999</v>
      </c>
      <c r="BI45" s="10">
        <f t="shared" si="65"/>
        <v>8.4022830375230978E-2</v>
      </c>
      <c r="BJ45" s="38">
        <f t="shared" si="66"/>
        <v>9.4736312097107085</v>
      </c>
      <c r="BS45" s="1"/>
      <c r="BW45" s="22"/>
      <c r="BX45" s="22"/>
      <c r="BY45" s="22"/>
      <c r="BZ45" s="22"/>
      <c r="CA45" s="22"/>
      <c r="CB45" s="22"/>
      <c r="CD45" s="1"/>
      <c r="CN45" s="4"/>
      <c r="CO45" s="4"/>
      <c r="CP45" s="3"/>
      <c r="CQ45" s="4"/>
      <c r="CR45" s="66"/>
      <c r="CS45" s="66"/>
      <c r="CT45" s="4"/>
      <c r="CU45" s="4"/>
      <c r="CV45" s="4"/>
      <c r="CZ45" s="3"/>
      <c r="DA45" s="3"/>
      <c r="DB45" s="3"/>
      <c r="DG45" s="79"/>
      <c r="DH45" s="122"/>
      <c r="DI45" s="122"/>
      <c r="DJ45" s="60"/>
      <c r="DK45" s="60"/>
      <c r="DL45" s="31"/>
      <c r="DP45">
        <v>4271140</v>
      </c>
      <c r="DQ45">
        <v>336</v>
      </c>
      <c r="DR45">
        <v>88.373000000000005</v>
      </c>
      <c r="DS45">
        <v>288</v>
      </c>
      <c r="DT45">
        <v>101.773</v>
      </c>
      <c r="DU45">
        <v>200</v>
      </c>
      <c r="DV45">
        <v>113.408</v>
      </c>
      <c r="DW45">
        <v>260</v>
      </c>
      <c r="DX45">
        <v>126.758</v>
      </c>
      <c r="DY45">
        <v>150</v>
      </c>
      <c r="DZ45">
        <v>141.44300000000001</v>
      </c>
      <c r="EA45">
        <v>112</v>
      </c>
      <c r="EB45">
        <v>150.78800000000001</v>
      </c>
      <c r="EC45">
        <v>130</v>
      </c>
      <c r="ED45">
        <v>169.47800000000001</v>
      </c>
      <c r="EE45">
        <v>91</v>
      </c>
      <c r="EF45">
        <v>185.49799999999999</v>
      </c>
      <c r="EG45">
        <v>5</v>
      </c>
      <c r="EH45">
        <v>201.518</v>
      </c>
      <c r="EI45">
        <f t="shared" si="67"/>
        <v>192667.386</v>
      </c>
      <c r="EJ45">
        <f t="shared" si="68"/>
        <v>73.284178331978637</v>
      </c>
      <c r="EK45">
        <v>425175</v>
      </c>
      <c r="EL45">
        <v>205</v>
      </c>
      <c r="EM45">
        <v>80.332999999999998</v>
      </c>
      <c r="EN45">
        <v>20</v>
      </c>
      <c r="EO45">
        <v>113.408</v>
      </c>
      <c r="FD45">
        <f t="shared" si="69"/>
        <v>18736.424999999999</v>
      </c>
      <c r="FE45">
        <f t="shared" si="70"/>
        <v>75.016295268849035</v>
      </c>
    </row>
    <row r="46" spans="1:161" x14ac:dyDescent="0.55000000000000004">
      <c r="A46" t="s">
        <v>330</v>
      </c>
      <c r="B46" t="s">
        <v>331</v>
      </c>
      <c r="C46" s="31">
        <v>45484</v>
      </c>
      <c r="D46" s="31" t="s">
        <v>702</v>
      </c>
      <c r="E46" s="126">
        <v>446865.02</v>
      </c>
      <c r="F46" s="119" t="s">
        <v>13</v>
      </c>
      <c r="G46" s="37"/>
      <c r="H46" s="3">
        <f t="shared" si="71"/>
        <v>4831633.8999999994</v>
      </c>
      <c r="I46" s="4">
        <f t="shared" si="48"/>
        <v>425175.00000000006</v>
      </c>
      <c r="J46">
        <f t="shared" si="49"/>
        <v>75.016295268849035</v>
      </c>
      <c r="K46" s="4">
        <f t="shared" si="50"/>
        <v>4271140</v>
      </c>
      <c r="L46">
        <f t="shared" si="51"/>
        <v>73.284178331978637</v>
      </c>
      <c r="M46" s="4">
        <v>26328.799999999999</v>
      </c>
      <c r="N46" s="3">
        <v>108990.1</v>
      </c>
      <c r="P46" s="3">
        <f t="shared" si="52"/>
        <v>1388214.7109999999</v>
      </c>
      <c r="Q46" s="3">
        <f t="shared" si="53"/>
        <v>1280613.906</v>
      </c>
      <c r="R46" s="3">
        <f t="shared" si="54"/>
        <v>107600.80499999998</v>
      </c>
      <c r="S46" s="12">
        <f t="shared" si="55"/>
        <v>8.4022830375230978E-2</v>
      </c>
      <c r="T46" s="39">
        <f t="shared" si="55"/>
        <v>9.4736312097107085</v>
      </c>
      <c r="U46" s="10"/>
      <c r="V46" s="3">
        <v>4571252</v>
      </c>
      <c r="W46" s="3">
        <v>4472520</v>
      </c>
      <c r="X46" s="4">
        <f t="shared" si="56"/>
        <v>98732</v>
      </c>
      <c r="Z46">
        <v>3</v>
      </c>
      <c r="AA46" s="79"/>
      <c r="AB46" s="34">
        <v>92.2</v>
      </c>
      <c r="AC46" s="127">
        <v>2870</v>
      </c>
      <c r="AD46" s="60">
        <v>4925</v>
      </c>
      <c r="AE46" s="60">
        <v>99</v>
      </c>
      <c r="AF46" s="31">
        <v>46160</v>
      </c>
      <c r="AH46" s="3">
        <f t="shared" si="57"/>
        <v>2527.2048897782829</v>
      </c>
      <c r="AI46" s="3">
        <f t="shared" si="43"/>
        <v>2586.9369423462585</v>
      </c>
      <c r="AJ46" s="13">
        <f t="shared" si="58"/>
        <v>0.75327704291953257</v>
      </c>
      <c r="AL46" t="s">
        <v>679</v>
      </c>
      <c r="AM46" t="s">
        <v>680</v>
      </c>
      <c r="AN46">
        <v>6700</v>
      </c>
      <c r="AO46" s="31">
        <f t="shared" si="59"/>
        <v>46160</v>
      </c>
      <c r="AP46">
        <v>111.79</v>
      </c>
      <c r="AQ46">
        <f t="shared" si="60"/>
        <v>198.1282791893596</v>
      </c>
      <c r="AR46">
        <v>114</v>
      </c>
      <c r="AS46" s="92">
        <v>0.1</v>
      </c>
      <c r="AT46" s="3">
        <f t="shared" si="12"/>
        <v>7515.6990786295728</v>
      </c>
      <c r="AU46">
        <f t="shared" si="61"/>
        <v>5290.2997765992241</v>
      </c>
      <c r="AV46">
        <f t="shared" si="62"/>
        <v>2225.3993020303487</v>
      </c>
      <c r="AZ46" s="4">
        <f t="shared" si="63"/>
        <v>365.29977659922451</v>
      </c>
      <c r="BB46" s="13">
        <f t="shared" si="72"/>
        <v>0.42065655936437452</v>
      </c>
      <c r="BF46" s="3">
        <f t="shared" si="64"/>
        <v>1388214.7109999999</v>
      </c>
      <c r="BG46" s="3">
        <v>1280613.906</v>
      </c>
      <c r="BH46" s="4">
        <v>107600.80499999999</v>
      </c>
      <c r="BI46" s="10">
        <f t="shared" si="65"/>
        <v>8.4022830375230978E-2</v>
      </c>
      <c r="BJ46" s="38">
        <f t="shared" si="66"/>
        <v>9.4736312097107085</v>
      </c>
      <c r="BS46" s="1"/>
      <c r="BW46" s="22"/>
      <c r="BX46" s="22"/>
      <c r="BY46" s="22"/>
      <c r="BZ46" s="22"/>
      <c r="CA46" s="22"/>
      <c r="CB46" s="22"/>
      <c r="CD46" s="1"/>
      <c r="CN46" s="4"/>
      <c r="CO46" s="4"/>
      <c r="CP46" s="3"/>
      <c r="CQ46" s="4"/>
      <c r="CR46" s="66"/>
      <c r="CS46" s="66"/>
      <c r="CT46" s="4"/>
      <c r="CU46" s="4"/>
      <c r="CV46" s="4"/>
      <c r="CZ46" s="3"/>
      <c r="DA46" s="3"/>
      <c r="DB46" s="3"/>
      <c r="DG46" s="79"/>
      <c r="DH46" s="122"/>
      <c r="DI46" s="122"/>
      <c r="DJ46" s="60"/>
      <c r="DK46" s="60"/>
      <c r="DL46" s="31"/>
      <c r="DP46">
        <v>4271140</v>
      </c>
      <c r="DQ46">
        <v>336</v>
      </c>
      <c r="DR46">
        <v>88.373000000000005</v>
      </c>
      <c r="DS46">
        <v>288</v>
      </c>
      <c r="DT46">
        <v>101.773</v>
      </c>
      <c r="DU46">
        <v>200</v>
      </c>
      <c r="DV46">
        <v>113.408</v>
      </c>
      <c r="DW46">
        <v>260</v>
      </c>
      <c r="DX46">
        <v>126.758</v>
      </c>
      <c r="DY46">
        <v>150</v>
      </c>
      <c r="DZ46">
        <v>141.44300000000001</v>
      </c>
      <c r="EA46">
        <v>112</v>
      </c>
      <c r="EB46">
        <v>150.78800000000001</v>
      </c>
      <c r="EC46">
        <v>130</v>
      </c>
      <c r="ED46">
        <v>169.47800000000001</v>
      </c>
      <c r="EE46">
        <v>91</v>
      </c>
      <c r="EF46">
        <v>185.49799999999999</v>
      </c>
      <c r="EG46">
        <v>5</v>
      </c>
      <c r="EH46">
        <v>201.518</v>
      </c>
      <c r="EI46">
        <f t="shared" si="67"/>
        <v>192667.386</v>
      </c>
      <c r="EJ46">
        <f t="shared" si="68"/>
        <v>73.284178331978637</v>
      </c>
      <c r="EK46">
        <v>425175</v>
      </c>
      <c r="EL46">
        <v>205</v>
      </c>
      <c r="EM46">
        <v>80.332999999999998</v>
      </c>
      <c r="EN46">
        <v>20</v>
      </c>
      <c r="EO46">
        <v>113.408</v>
      </c>
      <c r="FD46">
        <f t="shared" si="69"/>
        <v>18736.424999999999</v>
      </c>
      <c r="FE46">
        <f t="shared" si="70"/>
        <v>75.016295268849035</v>
      </c>
    </row>
    <row r="47" spans="1:161" x14ac:dyDescent="0.55000000000000004">
      <c r="A47" t="s">
        <v>330</v>
      </c>
      <c r="B47" t="s">
        <v>331</v>
      </c>
      <c r="C47" s="31">
        <v>45484</v>
      </c>
      <c r="D47" s="31" t="s">
        <v>702</v>
      </c>
      <c r="E47" s="126">
        <v>446865.02</v>
      </c>
      <c r="F47" s="119" t="s">
        <v>13</v>
      </c>
      <c r="G47" s="37"/>
      <c r="H47" s="3">
        <f t="shared" si="71"/>
        <v>4831633.8999999994</v>
      </c>
      <c r="I47" s="4">
        <f t="shared" si="48"/>
        <v>425175.00000000006</v>
      </c>
      <c r="J47">
        <f t="shared" si="49"/>
        <v>75.016295268849035</v>
      </c>
      <c r="K47" s="4">
        <f t="shared" si="50"/>
        <v>4271140</v>
      </c>
      <c r="L47">
        <f t="shared" si="51"/>
        <v>73.284178331978637</v>
      </c>
      <c r="M47" s="4">
        <v>26328.799999999999</v>
      </c>
      <c r="N47" s="3">
        <v>108990.1</v>
      </c>
      <c r="P47" s="3">
        <f t="shared" si="52"/>
        <v>1388214.7109999999</v>
      </c>
      <c r="Q47" s="3">
        <f t="shared" si="53"/>
        <v>1280613.906</v>
      </c>
      <c r="R47" s="3">
        <f t="shared" si="54"/>
        <v>107600.80499999998</v>
      </c>
      <c r="S47" s="12">
        <f t="shared" si="55"/>
        <v>8.4022830375230978E-2</v>
      </c>
      <c r="T47" s="39">
        <f t="shared" si="55"/>
        <v>9.4736312097107085</v>
      </c>
      <c r="U47" s="10"/>
      <c r="V47" s="3">
        <v>4571252</v>
      </c>
      <c r="W47" s="3">
        <v>4472520</v>
      </c>
      <c r="X47" s="4">
        <f t="shared" si="56"/>
        <v>98732</v>
      </c>
      <c r="Z47">
        <v>4</v>
      </c>
      <c r="AA47" s="79"/>
      <c r="AB47" s="34">
        <v>93.71</v>
      </c>
      <c r="AC47" s="127">
        <v>2870</v>
      </c>
      <c r="AD47" s="60">
        <v>4925</v>
      </c>
      <c r="AE47" s="60">
        <v>100</v>
      </c>
      <c r="AF47" s="31">
        <v>46160</v>
      </c>
      <c r="AH47" s="3">
        <f t="shared" si="57"/>
        <v>2527.2048897782829</v>
      </c>
      <c r="AI47" s="3">
        <f t="shared" si="43"/>
        <v>2586.9369423462585</v>
      </c>
      <c r="AJ47" s="13">
        <f t="shared" si="58"/>
        <v>0.75327704291953257</v>
      </c>
      <c r="AL47" t="s">
        <v>679</v>
      </c>
      <c r="AM47" t="s">
        <v>680</v>
      </c>
      <c r="AN47">
        <v>6700</v>
      </c>
      <c r="AO47" s="31">
        <f t="shared" si="59"/>
        <v>46160</v>
      </c>
      <c r="AP47">
        <v>111.79</v>
      </c>
      <c r="AQ47">
        <f t="shared" si="60"/>
        <v>198.1282791893596</v>
      </c>
      <c r="AR47">
        <v>114</v>
      </c>
      <c r="AS47" s="92">
        <v>0.1</v>
      </c>
      <c r="AT47" s="3">
        <f t="shared" si="12"/>
        <v>7515.6990786295728</v>
      </c>
      <c r="AU47">
        <f t="shared" si="61"/>
        <v>5290.2997765992241</v>
      </c>
      <c r="AV47">
        <f t="shared" si="62"/>
        <v>2225.3993020303487</v>
      </c>
      <c r="AZ47" s="4">
        <f t="shared" si="63"/>
        <v>365.29977659922451</v>
      </c>
      <c r="BB47" s="13">
        <f t="shared" si="72"/>
        <v>0.42065655936437452</v>
      </c>
      <c r="BF47" s="3">
        <f t="shared" si="64"/>
        <v>1388214.7109999999</v>
      </c>
      <c r="BG47" s="3">
        <v>1280613.906</v>
      </c>
      <c r="BH47" s="4">
        <v>107600.80499999999</v>
      </c>
      <c r="BI47" s="10">
        <f t="shared" si="65"/>
        <v>8.4022830375230978E-2</v>
      </c>
      <c r="BJ47" s="38">
        <f t="shared" si="66"/>
        <v>9.4736312097107085</v>
      </c>
      <c r="BS47" s="1"/>
      <c r="BW47" s="22"/>
      <c r="BX47" s="22"/>
      <c r="BY47" s="22"/>
      <c r="BZ47" s="22"/>
      <c r="CA47" s="22"/>
      <c r="CB47" s="22"/>
      <c r="CD47" s="1"/>
      <c r="CN47" s="4"/>
      <c r="CO47" s="4"/>
      <c r="CP47" s="3"/>
      <c r="CQ47" s="4"/>
      <c r="CR47" s="66"/>
      <c r="CS47" s="66"/>
      <c r="CT47" s="4"/>
      <c r="CU47" s="4"/>
      <c r="CV47" s="4"/>
      <c r="CZ47" s="3"/>
      <c r="DA47" s="3"/>
      <c r="DB47" s="3"/>
      <c r="DG47" s="79"/>
      <c r="DH47" s="122"/>
      <c r="DI47" s="122"/>
      <c r="DJ47" s="60"/>
      <c r="DK47" s="60"/>
      <c r="DL47" s="31"/>
      <c r="DP47">
        <v>4271140</v>
      </c>
      <c r="DQ47">
        <v>336</v>
      </c>
      <c r="DR47">
        <v>88.373000000000005</v>
      </c>
      <c r="DS47">
        <v>288</v>
      </c>
      <c r="DT47">
        <v>101.773</v>
      </c>
      <c r="DU47">
        <v>200</v>
      </c>
      <c r="DV47">
        <v>113.408</v>
      </c>
      <c r="DW47">
        <v>260</v>
      </c>
      <c r="DX47">
        <v>126.758</v>
      </c>
      <c r="DY47">
        <v>150</v>
      </c>
      <c r="DZ47">
        <v>141.44300000000001</v>
      </c>
      <c r="EA47">
        <v>112</v>
      </c>
      <c r="EB47">
        <v>150.78800000000001</v>
      </c>
      <c r="EC47">
        <v>130</v>
      </c>
      <c r="ED47">
        <v>169.47800000000001</v>
      </c>
      <c r="EE47">
        <v>91</v>
      </c>
      <c r="EF47">
        <v>185.49799999999999</v>
      </c>
      <c r="EG47">
        <v>5</v>
      </c>
      <c r="EH47">
        <v>201.518</v>
      </c>
      <c r="EI47">
        <f t="shared" si="67"/>
        <v>192667.386</v>
      </c>
      <c r="EJ47">
        <f t="shared" si="68"/>
        <v>73.284178331978637</v>
      </c>
      <c r="EK47">
        <v>425175</v>
      </c>
      <c r="EL47">
        <v>205</v>
      </c>
      <c r="EM47">
        <v>80.332999999999998</v>
      </c>
      <c r="EN47">
        <v>20</v>
      </c>
      <c r="EO47">
        <v>113.408</v>
      </c>
      <c r="FD47">
        <f t="shared" si="69"/>
        <v>18736.424999999999</v>
      </c>
      <c r="FE47">
        <f t="shared" si="70"/>
        <v>75.016295268849035</v>
      </c>
    </row>
    <row r="48" spans="1:161" x14ac:dyDescent="0.55000000000000004">
      <c r="A48" t="s">
        <v>330</v>
      </c>
      <c r="B48" t="s">
        <v>331</v>
      </c>
      <c r="C48" s="31">
        <v>45484</v>
      </c>
      <c r="D48" s="31" t="s">
        <v>702</v>
      </c>
      <c r="E48" s="126">
        <v>446865.02</v>
      </c>
      <c r="F48" s="119" t="s">
        <v>13</v>
      </c>
      <c r="G48" s="37"/>
      <c r="H48" s="3">
        <f t="shared" si="71"/>
        <v>4831633.8999999994</v>
      </c>
      <c r="I48" s="4">
        <f t="shared" si="48"/>
        <v>425175.00000000006</v>
      </c>
      <c r="J48">
        <f t="shared" si="49"/>
        <v>75.016295268849035</v>
      </c>
      <c r="K48" s="4">
        <f t="shared" si="50"/>
        <v>4271140</v>
      </c>
      <c r="L48">
        <f t="shared" si="51"/>
        <v>73.284178331978637</v>
      </c>
      <c r="M48" s="4">
        <v>26328.799999999999</v>
      </c>
      <c r="N48" s="3">
        <v>108990.1</v>
      </c>
      <c r="P48" s="3">
        <f t="shared" si="52"/>
        <v>1388214.7109999999</v>
      </c>
      <c r="Q48" s="3">
        <f t="shared" si="53"/>
        <v>1280613.906</v>
      </c>
      <c r="R48" s="3">
        <f t="shared" si="54"/>
        <v>107600.80499999998</v>
      </c>
      <c r="S48" s="12">
        <f t="shared" si="55"/>
        <v>8.4022830375230978E-2</v>
      </c>
      <c r="T48" s="39">
        <f t="shared" si="55"/>
        <v>9.4736312097107085</v>
      </c>
      <c r="U48" s="10"/>
      <c r="V48" s="3">
        <v>4571252</v>
      </c>
      <c r="W48" s="3">
        <v>4472520</v>
      </c>
      <c r="X48" s="4">
        <f t="shared" si="56"/>
        <v>98732</v>
      </c>
      <c r="Z48">
        <v>5</v>
      </c>
      <c r="AA48" s="79"/>
      <c r="AB48" s="34">
        <v>107.31</v>
      </c>
      <c r="AC48" s="127">
        <v>3150</v>
      </c>
      <c r="AD48" s="60">
        <v>5675</v>
      </c>
      <c r="AE48" s="60">
        <v>115</v>
      </c>
      <c r="AF48" s="31">
        <v>46160</v>
      </c>
      <c r="AH48" s="3">
        <f t="shared" si="57"/>
        <v>2527.2048897782829</v>
      </c>
      <c r="AI48" s="3">
        <f t="shared" si="43"/>
        <v>2586.9369423462585</v>
      </c>
      <c r="AJ48" s="13">
        <f t="shared" si="58"/>
        <v>0.75327704291953257</v>
      </c>
      <c r="AL48" t="s">
        <v>679</v>
      </c>
      <c r="AM48" t="s">
        <v>680</v>
      </c>
      <c r="AN48">
        <v>6700</v>
      </c>
      <c r="AO48" s="31">
        <f t="shared" si="59"/>
        <v>46160</v>
      </c>
      <c r="AP48">
        <v>111.79</v>
      </c>
      <c r="AQ48">
        <f t="shared" si="60"/>
        <v>198.1282791893596</v>
      </c>
      <c r="AR48">
        <v>114</v>
      </c>
      <c r="AS48" s="92">
        <v>0.1</v>
      </c>
      <c r="AT48" s="3">
        <f t="shared" si="12"/>
        <v>7515.6990786295728</v>
      </c>
      <c r="AU48">
        <f t="shared" si="61"/>
        <v>5829.3822045817551</v>
      </c>
      <c r="AV48">
        <f t="shared" si="62"/>
        <v>1686.3168740478177</v>
      </c>
      <c r="AZ48" s="4">
        <f t="shared" si="63"/>
        <v>154.3822045817551</v>
      </c>
      <c r="BB48" s="13">
        <f t="shared" si="72"/>
        <v>0.28927883176409552</v>
      </c>
      <c r="BF48" s="3">
        <f t="shared" si="64"/>
        <v>1388214.7109999999</v>
      </c>
      <c r="BG48" s="3">
        <v>1280613.906</v>
      </c>
      <c r="BH48" s="4">
        <v>107600.80499999999</v>
      </c>
      <c r="BI48" s="10">
        <f t="shared" si="65"/>
        <v>8.4022830375230978E-2</v>
      </c>
      <c r="BJ48" s="38">
        <f t="shared" si="66"/>
        <v>9.4736312097107085</v>
      </c>
      <c r="BS48" s="1"/>
      <c r="BW48" s="22"/>
      <c r="BX48" s="22"/>
      <c r="BY48" s="22"/>
      <c r="BZ48" s="22"/>
      <c r="CA48" s="22"/>
      <c r="CB48" s="22"/>
      <c r="CD48" s="1"/>
      <c r="CN48" s="4"/>
      <c r="CO48" s="4"/>
      <c r="CP48" s="3"/>
      <c r="CQ48" s="4"/>
      <c r="CR48" s="66"/>
      <c r="CS48" s="66"/>
      <c r="CT48" s="4"/>
      <c r="CU48" s="4"/>
      <c r="CV48" s="4"/>
      <c r="CZ48" s="3"/>
      <c r="DA48" s="3"/>
      <c r="DB48" s="3"/>
      <c r="DG48" s="79"/>
      <c r="DH48" s="122"/>
      <c r="DI48" s="122"/>
      <c r="DJ48" s="60"/>
      <c r="DK48" s="60"/>
      <c r="DL48" s="31"/>
      <c r="DP48">
        <v>4271140</v>
      </c>
      <c r="DQ48">
        <v>336</v>
      </c>
      <c r="DR48">
        <v>88.373000000000005</v>
      </c>
      <c r="DS48">
        <v>288</v>
      </c>
      <c r="DT48">
        <v>101.773</v>
      </c>
      <c r="DU48">
        <v>200</v>
      </c>
      <c r="DV48">
        <v>113.408</v>
      </c>
      <c r="DW48">
        <v>260</v>
      </c>
      <c r="DX48">
        <v>126.758</v>
      </c>
      <c r="DY48">
        <v>150</v>
      </c>
      <c r="DZ48">
        <v>141.44300000000001</v>
      </c>
      <c r="EA48">
        <v>112</v>
      </c>
      <c r="EB48">
        <v>150.78800000000001</v>
      </c>
      <c r="EC48">
        <v>130</v>
      </c>
      <c r="ED48">
        <v>169.47800000000001</v>
      </c>
      <c r="EE48">
        <v>91</v>
      </c>
      <c r="EF48">
        <v>185.49799999999999</v>
      </c>
      <c r="EG48">
        <v>5</v>
      </c>
      <c r="EH48">
        <v>201.518</v>
      </c>
      <c r="EI48">
        <f t="shared" si="67"/>
        <v>192667.386</v>
      </c>
      <c r="EJ48">
        <f t="shared" si="68"/>
        <v>73.284178331978637</v>
      </c>
      <c r="EK48">
        <v>425175</v>
      </c>
      <c r="EL48">
        <v>205</v>
      </c>
      <c r="EM48">
        <v>80.332999999999998</v>
      </c>
      <c r="EN48">
        <v>20</v>
      </c>
      <c r="EO48">
        <v>113.408</v>
      </c>
      <c r="FD48">
        <f t="shared" si="69"/>
        <v>18736.424999999999</v>
      </c>
      <c r="FE48">
        <f t="shared" si="70"/>
        <v>75.016295268849035</v>
      </c>
    </row>
    <row r="49" spans="1:161" x14ac:dyDescent="0.55000000000000004">
      <c r="A49" t="s">
        <v>330</v>
      </c>
      <c r="B49" t="s">
        <v>331</v>
      </c>
      <c r="C49" s="31">
        <v>45484</v>
      </c>
      <c r="D49" s="31" t="s">
        <v>702</v>
      </c>
      <c r="E49" s="126">
        <v>446865.02</v>
      </c>
      <c r="F49" s="119" t="s">
        <v>13</v>
      </c>
      <c r="G49" s="37"/>
      <c r="H49" s="3">
        <f t="shared" si="71"/>
        <v>4831633.8999999994</v>
      </c>
      <c r="I49" s="4">
        <f t="shared" si="48"/>
        <v>425175.00000000006</v>
      </c>
      <c r="J49">
        <f t="shared" si="49"/>
        <v>75.016295268849035</v>
      </c>
      <c r="K49" s="4">
        <f t="shared" si="50"/>
        <v>4271140</v>
      </c>
      <c r="L49">
        <f t="shared" si="51"/>
        <v>73.284178331978637</v>
      </c>
      <c r="M49" s="4">
        <v>26328.799999999999</v>
      </c>
      <c r="N49" s="3">
        <v>108990.1</v>
      </c>
      <c r="P49" s="3">
        <f t="shared" si="52"/>
        <v>1388214.7109999999</v>
      </c>
      <c r="Q49" s="3">
        <f t="shared" si="53"/>
        <v>1280613.906</v>
      </c>
      <c r="R49" s="3">
        <f t="shared" si="54"/>
        <v>107600.80499999998</v>
      </c>
      <c r="S49" s="12">
        <f t="shared" si="55"/>
        <v>8.4022830375230978E-2</v>
      </c>
      <c r="T49" s="39">
        <f t="shared" si="55"/>
        <v>9.4736312097107085</v>
      </c>
      <c r="U49" s="10"/>
      <c r="V49" s="3">
        <v>4571252</v>
      </c>
      <c r="W49" s="3">
        <v>4472520</v>
      </c>
      <c r="X49" s="4">
        <f t="shared" si="56"/>
        <v>98732</v>
      </c>
      <c r="Z49">
        <v>6</v>
      </c>
      <c r="AA49" s="79"/>
      <c r="AB49" s="34">
        <v>135.97</v>
      </c>
      <c r="AC49" s="127">
        <v>3850</v>
      </c>
      <c r="AD49" s="60">
        <v>6600</v>
      </c>
      <c r="AE49" s="60">
        <v>147</v>
      </c>
      <c r="AF49" s="31">
        <v>46160</v>
      </c>
      <c r="AH49" s="3">
        <f t="shared" si="57"/>
        <v>2527.2048897782829</v>
      </c>
      <c r="AI49" s="3">
        <f t="shared" si="43"/>
        <v>2586.9369423462585</v>
      </c>
      <c r="AJ49" s="13">
        <f t="shared" si="58"/>
        <v>0.75327704291953257</v>
      </c>
      <c r="AL49" t="s">
        <v>679</v>
      </c>
      <c r="AM49" t="s">
        <v>680</v>
      </c>
      <c r="AN49">
        <v>6700</v>
      </c>
      <c r="AO49" s="31">
        <f t="shared" si="59"/>
        <v>46160</v>
      </c>
      <c r="AP49">
        <v>111.79</v>
      </c>
      <c r="AQ49">
        <f t="shared" si="60"/>
        <v>198.1282791893596</v>
      </c>
      <c r="AR49">
        <v>114</v>
      </c>
      <c r="AS49" s="92">
        <v>0.1</v>
      </c>
      <c r="AT49" s="3">
        <f t="shared" si="12"/>
        <v>7515.6990786295728</v>
      </c>
      <c r="AU49">
        <f t="shared" si="61"/>
        <v>6227.0882745380823</v>
      </c>
      <c r="AV49">
        <f t="shared" si="62"/>
        <v>1288.6108040914905</v>
      </c>
      <c r="AZ49" s="4">
        <f t="shared" si="63"/>
        <v>-372.91172546191729</v>
      </c>
      <c r="BB49" s="13">
        <f t="shared" si="72"/>
        <v>0.2069363316014784</v>
      </c>
      <c r="BF49" s="3">
        <f t="shared" si="64"/>
        <v>1388214.7109999999</v>
      </c>
      <c r="BG49" s="3">
        <v>1280613.906</v>
      </c>
      <c r="BH49" s="4">
        <v>107600.80499999999</v>
      </c>
      <c r="BI49" s="10">
        <f t="shared" si="65"/>
        <v>8.4022830375230978E-2</v>
      </c>
      <c r="BJ49" s="38">
        <f t="shared" si="66"/>
        <v>9.4736312097107085</v>
      </c>
      <c r="BS49" s="1"/>
      <c r="BW49" s="22"/>
      <c r="BX49" s="22"/>
      <c r="BY49" s="22"/>
      <c r="BZ49" s="22"/>
      <c r="CA49" s="22"/>
      <c r="CB49" s="22"/>
      <c r="CD49" s="1"/>
      <c r="CN49" s="4"/>
      <c r="CO49" s="4"/>
      <c r="CP49" s="3"/>
      <c r="CQ49" s="4"/>
      <c r="CR49" s="66"/>
      <c r="CS49" s="66"/>
      <c r="CT49" s="4"/>
      <c r="CU49" s="4"/>
      <c r="CV49" s="4"/>
      <c r="CZ49" s="3"/>
      <c r="DA49" s="3"/>
      <c r="DB49" s="3"/>
      <c r="DG49" s="79"/>
      <c r="DH49" s="122"/>
      <c r="DI49" s="122"/>
      <c r="DJ49" s="60"/>
      <c r="DK49" s="60"/>
      <c r="DL49" s="31"/>
      <c r="DP49">
        <v>4271140</v>
      </c>
      <c r="DQ49">
        <v>336</v>
      </c>
      <c r="DR49">
        <v>88.373000000000005</v>
      </c>
      <c r="DS49">
        <v>288</v>
      </c>
      <c r="DT49">
        <v>101.773</v>
      </c>
      <c r="DU49">
        <v>200</v>
      </c>
      <c r="DV49">
        <v>113.408</v>
      </c>
      <c r="DW49">
        <v>260</v>
      </c>
      <c r="DX49">
        <v>126.758</v>
      </c>
      <c r="DY49">
        <v>150</v>
      </c>
      <c r="DZ49">
        <v>141.44300000000001</v>
      </c>
      <c r="EA49">
        <v>112</v>
      </c>
      <c r="EB49">
        <v>150.78800000000001</v>
      </c>
      <c r="EC49">
        <v>130</v>
      </c>
      <c r="ED49">
        <v>169.47800000000001</v>
      </c>
      <c r="EE49">
        <v>91</v>
      </c>
      <c r="EF49">
        <v>185.49799999999999</v>
      </c>
      <c r="EG49">
        <v>5</v>
      </c>
      <c r="EH49">
        <v>201.518</v>
      </c>
      <c r="EI49">
        <f t="shared" si="67"/>
        <v>192667.386</v>
      </c>
      <c r="EJ49">
        <f t="shared" si="68"/>
        <v>73.284178331978637</v>
      </c>
      <c r="EK49">
        <v>425175</v>
      </c>
      <c r="EL49">
        <v>205</v>
      </c>
      <c r="EM49">
        <v>80.332999999999998</v>
      </c>
      <c r="EN49">
        <v>20</v>
      </c>
      <c r="EO49">
        <v>113.408</v>
      </c>
      <c r="FD49">
        <f t="shared" si="69"/>
        <v>18736.424999999999</v>
      </c>
      <c r="FE49">
        <f t="shared" si="70"/>
        <v>75.016295268849035</v>
      </c>
    </row>
    <row r="50" spans="1:161" x14ac:dyDescent="0.55000000000000004">
      <c r="A50" t="s">
        <v>330</v>
      </c>
      <c r="B50" t="s">
        <v>331</v>
      </c>
      <c r="C50" s="31">
        <v>45484</v>
      </c>
      <c r="D50" s="31" t="s">
        <v>702</v>
      </c>
      <c r="E50" s="126">
        <v>446865.02</v>
      </c>
      <c r="F50" s="119" t="s">
        <v>13</v>
      </c>
      <c r="G50" s="37"/>
      <c r="H50" s="3">
        <f t="shared" si="71"/>
        <v>4831633.8999999994</v>
      </c>
      <c r="I50" s="4">
        <f t="shared" si="48"/>
        <v>425175.00000000006</v>
      </c>
      <c r="J50">
        <f t="shared" si="49"/>
        <v>75.016295268849035</v>
      </c>
      <c r="K50" s="4">
        <f t="shared" si="50"/>
        <v>4271140</v>
      </c>
      <c r="L50">
        <f t="shared" si="51"/>
        <v>73.284178331978637</v>
      </c>
      <c r="M50" s="4">
        <v>26328.799999999999</v>
      </c>
      <c r="N50" s="3">
        <v>108990.1</v>
      </c>
      <c r="P50" s="3">
        <f t="shared" si="52"/>
        <v>1388214.7109999999</v>
      </c>
      <c r="Q50" s="3">
        <f t="shared" si="53"/>
        <v>1280613.906</v>
      </c>
      <c r="R50" s="3">
        <f t="shared" si="54"/>
        <v>107600.80499999998</v>
      </c>
      <c r="S50" s="12">
        <f t="shared" si="55"/>
        <v>8.4022830375230978E-2</v>
      </c>
      <c r="T50" s="39">
        <f t="shared" si="55"/>
        <v>9.4736312097107085</v>
      </c>
      <c r="U50" s="10"/>
      <c r="V50" s="3">
        <v>4571252</v>
      </c>
      <c r="W50" s="3">
        <v>4472520</v>
      </c>
      <c r="X50" s="4">
        <f t="shared" si="56"/>
        <v>98732</v>
      </c>
      <c r="Z50">
        <v>7</v>
      </c>
      <c r="AA50" s="79"/>
      <c r="AB50" s="34">
        <v>137.66</v>
      </c>
      <c r="AC50" s="127">
        <v>3850</v>
      </c>
      <c r="AD50" s="60">
        <v>6600</v>
      </c>
      <c r="AE50" s="60">
        <v>147</v>
      </c>
      <c r="AF50" s="31">
        <v>46160</v>
      </c>
      <c r="AH50" s="3">
        <f t="shared" si="57"/>
        <v>2527.2048897782829</v>
      </c>
      <c r="AI50" s="3">
        <f t="shared" si="43"/>
        <v>2586.9369423462585</v>
      </c>
      <c r="AJ50" s="13">
        <f t="shared" si="58"/>
        <v>0.75327704291953257</v>
      </c>
      <c r="AL50" t="s">
        <v>679</v>
      </c>
      <c r="AM50" t="s">
        <v>680</v>
      </c>
      <c r="AN50">
        <v>6700</v>
      </c>
      <c r="AO50" s="31">
        <f t="shared" si="59"/>
        <v>46160</v>
      </c>
      <c r="AP50">
        <v>111.79</v>
      </c>
      <c r="AQ50">
        <f t="shared" si="60"/>
        <v>198.1282791893596</v>
      </c>
      <c r="AR50">
        <v>114</v>
      </c>
      <c r="AS50" s="92">
        <v>0.1</v>
      </c>
      <c r="AT50" s="3">
        <f t="shared" si="12"/>
        <v>7515.6990786295728</v>
      </c>
      <c r="AU50">
        <f t="shared" si="61"/>
        <v>6227.0882745380823</v>
      </c>
      <c r="AV50">
        <f t="shared" si="62"/>
        <v>1288.6108040914905</v>
      </c>
      <c r="AZ50" s="4">
        <f t="shared" si="63"/>
        <v>-372.91172546191729</v>
      </c>
      <c r="BB50" s="13">
        <f t="shared" si="72"/>
        <v>0.2069363316014784</v>
      </c>
      <c r="BF50" s="3">
        <f t="shared" si="64"/>
        <v>1388214.7109999999</v>
      </c>
      <c r="BG50" s="3">
        <v>1280613.906</v>
      </c>
      <c r="BH50" s="4">
        <v>107600.80499999999</v>
      </c>
      <c r="BI50" s="10">
        <f t="shared" si="65"/>
        <v>8.4022830375230978E-2</v>
      </c>
      <c r="BJ50" s="38">
        <f t="shared" si="66"/>
        <v>9.4736312097107085</v>
      </c>
      <c r="BS50" s="1"/>
      <c r="BW50" s="22"/>
      <c r="BX50" s="22"/>
      <c r="BY50" s="22"/>
      <c r="BZ50" s="22"/>
      <c r="CA50" s="22"/>
      <c r="CB50" s="22"/>
      <c r="CD50" s="1"/>
      <c r="CN50" s="4"/>
      <c r="CO50" s="4"/>
      <c r="CP50" s="3"/>
      <c r="CQ50" s="4"/>
      <c r="CR50" s="66"/>
      <c r="CS50" s="66"/>
      <c r="CT50" s="4"/>
      <c r="CU50" s="4"/>
      <c r="CV50" s="4"/>
      <c r="CZ50" s="3"/>
      <c r="DA50" s="3"/>
      <c r="DB50" s="3"/>
      <c r="DG50" s="79"/>
      <c r="DH50" s="122"/>
      <c r="DI50" s="122"/>
      <c r="DJ50" s="60"/>
      <c r="DK50" s="60"/>
      <c r="DL50" s="31"/>
      <c r="DP50">
        <v>4271140</v>
      </c>
      <c r="DQ50">
        <v>336</v>
      </c>
      <c r="DR50">
        <v>88.373000000000005</v>
      </c>
      <c r="DS50">
        <v>288</v>
      </c>
      <c r="DT50">
        <v>101.773</v>
      </c>
      <c r="DU50">
        <v>200</v>
      </c>
      <c r="DV50">
        <v>113.408</v>
      </c>
      <c r="DW50">
        <v>260</v>
      </c>
      <c r="DX50">
        <v>126.758</v>
      </c>
      <c r="DY50">
        <v>150</v>
      </c>
      <c r="DZ50">
        <v>141.44300000000001</v>
      </c>
      <c r="EA50">
        <v>112</v>
      </c>
      <c r="EB50">
        <v>150.78800000000001</v>
      </c>
      <c r="EC50">
        <v>130</v>
      </c>
      <c r="ED50">
        <v>169.47800000000001</v>
      </c>
      <c r="EE50">
        <v>91</v>
      </c>
      <c r="EF50">
        <v>185.49799999999999</v>
      </c>
      <c r="EG50">
        <v>5</v>
      </c>
      <c r="EH50">
        <v>201.518</v>
      </c>
      <c r="EI50">
        <f t="shared" si="67"/>
        <v>192667.386</v>
      </c>
      <c r="EJ50">
        <f t="shared" si="68"/>
        <v>73.284178331978637</v>
      </c>
      <c r="EK50">
        <v>425175</v>
      </c>
      <c r="EL50">
        <v>205</v>
      </c>
      <c r="EM50">
        <v>80.332999999999998</v>
      </c>
      <c r="EN50">
        <v>20</v>
      </c>
      <c r="EO50">
        <v>113.408</v>
      </c>
      <c r="FD50">
        <f t="shared" si="69"/>
        <v>18736.424999999999</v>
      </c>
      <c r="FE50">
        <f t="shared" si="70"/>
        <v>75.016295268849035</v>
      </c>
    </row>
    <row r="51" spans="1:161" x14ac:dyDescent="0.55000000000000004">
      <c r="A51" t="s">
        <v>330</v>
      </c>
      <c r="B51" t="s">
        <v>331</v>
      </c>
      <c r="C51" s="31">
        <v>45484</v>
      </c>
      <c r="D51" s="31" t="s">
        <v>702</v>
      </c>
      <c r="E51" s="126">
        <v>446865.02</v>
      </c>
      <c r="F51" s="119" t="s">
        <v>13</v>
      </c>
      <c r="G51" s="37"/>
      <c r="H51" s="3">
        <f t="shared" si="71"/>
        <v>4831633.8999999994</v>
      </c>
      <c r="I51" s="4">
        <f t="shared" si="48"/>
        <v>425175.00000000006</v>
      </c>
      <c r="J51">
        <f t="shared" si="49"/>
        <v>75.016295268849035</v>
      </c>
      <c r="K51" s="4">
        <f t="shared" si="50"/>
        <v>4271140</v>
      </c>
      <c r="L51">
        <f t="shared" si="51"/>
        <v>73.284178331978637</v>
      </c>
      <c r="M51" s="4">
        <v>26328.799999999999</v>
      </c>
      <c r="N51" s="3">
        <v>108990.1</v>
      </c>
      <c r="P51" s="3">
        <f t="shared" si="52"/>
        <v>1388214.7109999999</v>
      </c>
      <c r="Q51" s="3">
        <f t="shared" si="53"/>
        <v>1280613.906</v>
      </c>
      <c r="R51" s="3">
        <f t="shared" si="54"/>
        <v>107600.80499999998</v>
      </c>
      <c r="S51" s="12">
        <f t="shared" si="55"/>
        <v>8.4022830375230978E-2</v>
      </c>
      <c r="T51" s="39">
        <f t="shared" si="55"/>
        <v>9.4736312097107085</v>
      </c>
      <c r="U51" s="10"/>
      <c r="V51" s="3">
        <v>4571252</v>
      </c>
      <c r="W51" s="3">
        <v>4472520</v>
      </c>
      <c r="X51" s="4">
        <f t="shared" si="56"/>
        <v>98732</v>
      </c>
      <c r="Z51">
        <v>8</v>
      </c>
      <c r="AA51" s="79"/>
      <c r="AB51" s="34">
        <v>150.58000000000001</v>
      </c>
      <c r="AC51" s="127">
        <v>4250</v>
      </c>
      <c r="AD51" s="60">
        <v>7700</v>
      </c>
      <c r="AE51" s="60">
        <v>164</v>
      </c>
      <c r="AF51" s="31">
        <v>46160</v>
      </c>
      <c r="AH51" s="3">
        <f t="shared" si="57"/>
        <v>2527.2048897782829</v>
      </c>
      <c r="AI51" s="3">
        <f t="shared" si="43"/>
        <v>2586.9369423462585</v>
      </c>
      <c r="AJ51" s="13">
        <f t="shared" si="58"/>
        <v>0.75327704291953257</v>
      </c>
      <c r="AL51" t="s">
        <v>679</v>
      </c>
      <c r="AM51" t="s">
        <v>680</v>
      </c>
      <c r="AN51">
        <v>6700</v>
      </c>
      <c r="AO51" s="31">
        <f t="shared" si="59"/>
        <v>46160</v>
      </c>
      <c r="AP51">
        <v>111.79</v>
      </c>
      <c r="AQ51">
        <f t="shared" si="60"/>
        <v>198.1282791893596</v>
      </c>
      <c r="AR51">
        <v>114</v>
      </c>
      <c r="AS51" s="92">
        <v>0.1</v>
      </c>
      <c r="AT51" s="3">
        <f t="shared" si="12"/>
        <v>7515.6990786295728</v>
      </c>
      <c r="AU51">
        <f t="shared" si="61"/>
        <v>7025.77745737027</v>
      </c>
      <c r="AV51">
        <f t="shared" si="62"/>
        <v>489.92162125930281</v>
      </c>
      <c r="AZ51" s="4">
        <f t="shared" si="63"/>
        <v>-674.22254262973047</v>
      </c>
      <c r="BB51" s="13">
        <f t="shared" si="72"/>
        <v>6.9732015315309911E-2</v>
      </c>
      <c r="BF51" s="3">
        <f t="shared" si="64"/>
        <v>1388214.7109999999</v>
      </c>
      <c r="BG51" s="3">
        <v>1280613.906</v>
      </c>
      <c r="BH51" s="4">
        <v>107600.80499999999</v>
      </c>
      <c r="BI51" s="10">
        <f t="shared" si="65"/>
        <v>8.4022830375230978E-2</v>
      </c>
      <c r="BJ51" s="38">
        <f t="shared" si="66"/>
        <v>9.4736312097107085</v>
      </c>
      <c r="BS51" s="1"/>
      <c r="BW51" s="22"/>
      <c r="BX51" s="22"/>
      <c r="BY51" s="22"/>
      <c r="BZ51" s="22"/>
      <c r="CA51" s="22"/>
      <c r="CB51" s="22"/>
      <c r="CD51" s="1"/>
      <c r="CN51" s="4"/>
      <c r="CO51" s="4"/>
      <c r="CP51" s="3"/>
      <c r="CQ51" s="4"/>
      <c r="CR51" s="66"/>
      <c r="CS51" s="66"/>
      <c r="CT51" s="4"/>
      <c r="CU51" s="4"/>
      <c r="CV51" s="4"/>
      <c r="CZ51" s="3"/>
      <c r="DA51" s="3"/>
      <c r="DB51" s="3"/>
      <c r="DG51" s="79"/>
      <c r="DH51" s="122"/>
      <c r="DI51" s="122"/>
      <c r="DJ51" s="60"/>
      <c r="DK51" s="60"/>
      <c r="DL51" s="31"/>
      <c r="DP51">
        <v>4271140</v>
      </c>
      <c r="DQ51">
        <v>336</v>
      </c>
      <c r="DR51">
        <v>88.373000000000005</v>
      </c>
      <c r="DS51">
        <v>288</v>
      </c>
      <c r="DT51">
        <v>101.773</v>
      </c>
      <c r="DU51">
        <v>200</v>
      </c>
      <c r="DV51">
        <v>113.408</v>
      </c>
      <c r="DW51">
        <v>260</v>
      </c>
      <c r="DX51">
        <v>126.758</v>
      </c>
      <c r="DY51">
        <v>150</v>
      </c>
      <c r="DZ51">
        <v>141.44300000000001</v>
      </c>
      <c r="EA51">
        <v>112</v>
      </c>
      <c r="EB51">
        <v>150.78800000000001</v>
      </c>
      <c r="EC51">
        <v>130</v>
      </c>
      <c r="ED51">
        <v>169.47800000000001</v>
      </c>
      <c r="EE51">
        <v>91</v>
      </c>
      <c r="EF51">
        <v>185.49799999999999</v>
      </c>
      <c r="EG51">
        <v>5</v>
      </c>
      <c r="EH51">
        <v>201.518</v>
      </c>
      <c r="EI51">
        <f t="shared" si="67"/>
        <v>192667.386</v>
      </c>
      <c r="EJ51">
        <f t="shared" si="68"/>
        <v>73.284178331978637</v>
      </c>
      <c r="EK51">
        <v>425175</v>
      </c>
      <c r="EL51">
        <v>205</v>
      </c>
      <c r="EM51">
        <v>80.332999999999998</v>
      </c>
      <c r="EN51">
        <v>20</v>
      </c>
      <c r="EO51">
        <v>113.408</v>
      </c>
      <c r="FD51">
        <f>+EL51*EM51+EN51*EO51+EP51*EQ51+ER51*ES51+ET51*EU51+EV51*EW51+EX51*EY51+EZ51*FA51+FB51*FC51</f>
        <v>18736.424999999999</v>
      </c>
      <c r="FE51">
        <f t="shared" si="70"/>
        <v>75.016295268849035</v>
      </c>
    </row>
    <row r="52" spans="1:161" x14ac:dyDescent="0.55000000000000004">
      <c r="C52" s="31"/>
      <c r="D52" s="31"/>
      <c r="E52" s="126"/>
      <c r="F52" s="119"/>
      <c r="G52" s="37"/>
      <c r="H52" s="3"/>
      <c r="I52" s="4"/>
      <c r="K52" s="4"/>
      <c r="M52" s="4"/>
      <c r="N52" s="3"/>
      <c r="P52" s="3"/>
      <c r="Q52" s="3"/>
      <c r="R52" s="4"/>
      <c r="S52" s="120"/>
      <c r="T52" s="121"/>
      <c r="U52" s="10"/>
      <c r="V52" s="3"/>
      <c r="W52" s="3"/>
      <c r="X52" s="4"/>
      <c r="AA52" s="79"/>
      <c r="AB52" s="34"/>
      <c r="AC52" s="127"/>
      <c r="AD52" s="60"/>
      <c r="AE52" s="60"/>
      <c r="AF52" s="31"/>
      <c r="AH52" s="3"/>
      <c r="AI52" s="3">
        <f t="shared" si="43"/>
        <v>0</v>
      </c>
      <c r="AJ52" s="13"/>
      <c r="AO52" s="31"/>
      <c r="AT52" s="3">
        <f t="shared" si="12"/>
        <v>0</v>
      </c>
      <c r="AZ52" s="4"/>
      <c r="BB52" s="13"/>
      <c r="BF52" s="3"/>
      <c r="BG52" s="3"/>
      <c r="BH52" s="4"/>
      <c r="BI52" s="10"/>
      <c r="BJ52" s="38"/>
      <c r="BS52" s="1"/>
      <c r="BW52" s="22"/>
      <c r="BX52" s="22"/>
      <c r="BY52" s="22"/>
      <c r="BZ52" s="22"/>
      <c r="CA52" s="22"/>
      <c r="CB52" s="22"/>
      <c r="CD52" s="1"/>
      <c r="CN52" s="4"/>
      <c r="CO52" s="4"/>
      <c r="CP52" s="3"/>
      <c r="CQ52" s="4"/>
      <c r="CR52" s="66"/>
      <c r="CS52" s="66"/>
      <c r="CT52" s="4"/>
      <c r="CU52" s="4"/>
      <c r="CV52" s="4"/>
      <c r="CZ52" s="3"/>
      <c r="DA52" s="3"/>
      <c r="DB52" s="3"/>
      <c r="DG52" s="79"/>
      <c r="DH52" s="122"/>
      <c r="DI52" s="122"/>
      <c r="DJ52" s="60"/>
      <c r="DK52" s="60"/>
      <c r="DL52" s="31"/>
    </row>
    <row r="53" spans="1:161" x14ac:dyDescent="0.55000000000000004">
      <c r="A53" t="s">
        <v>608</v>
      </c>
      <c r="B53" t="s">
        <v>610</v>
      </c>
      <c r="C53" s="31">
        <v>45520</v>
      </c>
      <c r="D53" s="31" t="s">
        <v>731</v>
      </c>
      <c r="E53" s="126">
        <v>421851.5</v>
      </c>
      <c r="F53" s="119" t="s">
        <v>732</v>
      </c>
      <c r="G53" s="37"/>
      <c r="H53" s="3">
        <f t="shared" si="71"/>
        <v>3601732.3460000004</v>
      </c>
      <c r="I53" s="4">
        <f>+J53*FD53*0.3025</f>
        <v>1022557.6</v>
      </c>
      <c r="J53">
        <f>+FE53</f>
        <v>50.001970321174696</v>
      </c>
      <c r="K53" s="4">
        <f>+EI53*L53*0.3025</f>
        <v>2321637.4000000004</v>
      </c>
      <c r="L53">
        <f>+EJ53</f>
        <v>45.031915438888994</v>
      </c>
      <c r="M53" s="4">
        <v>38116</v>
      </c>
      <c r="N53" s="3">
        <f>49469-2093.654+172046</f>
        <v>219421.34599999999</v>
      </c>
      <c r="P53" s="3">
        <f>+Q53+R53</f>
        <v>1286474.5219999999</v>
      </c>
      <c r="Q53" s="3">
        <f>+T53*E53*0.3025</f>
        <v>939526.54799999995</v>
      </c>
      <c r="R53" s="3">
        <f>+Q53*S53</f>
        <v>346947.97399999999</v>
      </c>
      <c r="S53" s="12">
        <f t="shared" ref="S53:T57" si="73">+BI53</f>
        <v>0.36927958527468879</v>
      </c>
      <c r="T53" s="39">
        <f t="shared" si="73"/>
        <v>7.3624791803523584</v>
      </c>
      <c r="U53" s="10"/>
      <c r="V53" s="3">
        <v>2293943</v>
      </c>
      <c r="W53" s="3">
        <v>2233452</v>
      </c>
      <c r="X53" s="4">
        <f>+V53-W53</f>
        <v>60491</v>
      </c>
      <c r="Z53">
        <v>1</v>
      </c>
      <c r="AA53" s="79"/>
      <c r="AB53" s="1">
        <v>47.94</v>
      </c>
      <c r="AC53" s="1">
        <v>1214</v>
      </c>
      <c r="AD53" s="60">
        <v>2125</v>
      </c>
      <c r="AE53" s="60">
        <v>65</v>
      </c>
      <c r="AF53" s="31">
        <v>46160</v>
      </c>
      <c r="AH53" s="3">
        <f>+AR53*L53*0.3025</f>
        <v>1531.811264558678</v>
      </c>
      <c r="AI53" s="3">
        <f t="shared" si="43"/>
        <v>1700.8732726913688</v>
      </c>
      <c r="AJ53" s="13">
        <f>+(H53-P53)/V53</f>
        <v>1.0092917844950813</v>
      </c>
      <c r="AL53" t="s">
        <v>735</v>
      </c>
      <c r="AM53" t="s">
        <v>736</v>
      </c>
      <c r="AN53">
        <v>2135</v>
      </c>
      <c r="AO53" s="31">
        <f>+AF53</f>
        <v>46160</v>
      </c>
      <c r="AP53">
        <v>109</v>
      </c>
      <c r="AQ53">
        <f>+AN53/(AP53*0.3025)</f>
        <v>64.750928804306625</v>
      </c>
      <c r="AR53">
        <v>112.45</v>
      </c>
      <c r="AS53" s="92">
        <v>0.15</v>
      </c>
      <c r="AT53" s="3">
        <f t="shared" si="12"/>
        <v>2532.9620412844038</v>
      </c>
      <c r="AU53">
        <f>+AD53+AZ53</f>
        <v>2431.5310381816494</v>
      </c>
      <c r="AV53">
        <f>+AT53-AU53</f>
        <v>101.4310031027544</v>
      </c>
      <c r="AZ53" s="4">
        <f>+AH53-(AC53*AJ53)</f>
        <v>306.53103818164936</v>
      </c>
      <c r="BB53" s="13">
        <f t="shared" ref="BB53" si="74">+AV53/AU53</f>
        <v>4.1714870799513491E-2</v>
      </c>
      <c r="BF53" s="3">
        <f>+BG53+BH53</f>
        <v>1286474.5219999999</v>
      </c>
      <c r="BG53" s="3">
        <v>939526.54799999995</v>
      </c>
      <c r="BH53" s="4">
        <v>346947.97399999999</v>
      </c>
      <c r="BI53" s="10">
        <f>+BH53/BG53</f>
        <v>0.36927958527468879</v>
      </c>
      <c r="BJ53" s="38">
        <f>+BG53/(E53*0.3025)</f>
        <v>7.3624791803523584</v>
      </c>
      <c r="BS53" s="1"/>
      <c r="BW53" s="22"/>
      <c r="BX53" s="22"/>
      <c r="BY53" s="22"/>
      <c r="BZ53" s="22"/>
      <c r="CA53" s="22"/>
      <c r="CB53" s="22"/>
      <c r="CD53" s="1"/>
      <c r="CN53" s="4"/>
      <c r="CO53" s="4"/>
      <c r="CP53" s="3"/>
      <c r="CQ53" s="4"/>
      <c r="CR53" s="66"/>
      <c r="CS53" s="66"/>
      <c r="CT53" s="4"/>
      <c r="CU53" s="4"/>
      <c r="CV53" s="4"/>
      <c r="CZ53" s="3"/>
      <c r="DA53" s="3"/>
      <c r="DB53" s="3"/>
      <c r="DG53" s="79"/>
      <c r="DH53" s="122"/>
      <c r="DI53" s="122"/>
      <c r="DJ53" s="60"/>
      <c r="DK53" s="60"/>
      <c r="DL53" s="31"/>
      <c r="DP53">
        <v>2321637.4</v>
      </c>
      <c r="DQ53">
        <v>194</v>
      </c>
      <c r="DR53">
        <v>80.150000000000006</v>
      </c>
      <c r="DS53">
        <v>562</v>
      </c>
      <c r="DT53">
        <v>112.45</v>
      </c>
      <c r="DU53">
        <v>230</v>
      </c>
      <c r="DV53">
        <v>131.44999999999999</v>
      </c>
      <c r="DW53">
        <v>232</v>
      </c>
      <c r="DX53">
        <v>155</v>
      </c>
      <c r="DY53">
        <v>100</v>
      </c>
      <c r="DZ53">
        <v>173</v>
      </c>
      <c r="EA53">
        <v>37</v>
      </c>
      <c r="EB53">
        <v>187.5</v>
      </c>
      <c r="EC53">
        <v>6</v>
      </c>
      <c r="ED53">
        <v>209</v>
      </c>
      <c r="EI53">
        <f>+DQ53*DR53+DS53*DT53+DU53*DV53+DW53*DX53+DY53*DZ53+EA53*EB53+EC53*ED53+EE53*EF53+EG53*EH53</f>
        <v>170431</v>
      </c>
      <c r="EJ53">
        <f>+DP53/(EI53*0.3025)</f>
        <v>45.031915438888994</v>
      </c>
      <c r="EK53">
        <v>1022557.6</v>
      </c>
      <c r="EL53">
        <v>77</v>
      </c>
      <c r="EM53">
        <v>80.150000000000006</v>
      </c>
      <c r="EN53">
        <v>221</v>
      </c>
      <c r="EO53">
        <v>112.45</v>
      </c>
      <c r="EP53">
        <v>91</v>
      </c>
      <c r="EQ53">
        <v>131.44999999999999</v>
      </c>
      <c r="ER53">
        <v>92</v>
      </c>
      <c r="ES53">
        <v>155</v>
      </c>
      <c r="ET53">
        <v>40</v>
      </c>
      <c r="EU53">
        <v>173</v>
      </c>
      <c r="EV53">
        <v>15</v>
      </c>
      <c r="EW53">
        <v>187.5</v>
      </c>
      <c r="EX53">
        <v>3</v>
      </c>
      <c r="EY53">
        <v>209</v>
      </c>
      <c r="FD53">
        <f>+EL53*EM53+EN53*EO53+EP53*EQ53+ER53*ES53+ET53*EU53+EV53*EW53+EX53*EY53+EZ53*FA53+FB53*FC53</f>
        <v>67604.45</v>
      </c>
      <c r="FE53">
        <f>+EK53/(FD53*0.3025)</f>
        <v>50.001970321174696</v>
      </c>
    </row>
    <row r="54" spans="1:161" x14ac:dyDescent="0.55000000000000004">
      <c r="A54" t="s">
        <v>608</v>
      </c>
      <c r="B54" t="s">
        <v>610</v>
      </c>
      <c r="C54" s="31">
        <v>45520</v>
      </c>
      <c r="D54" s="31" t="s">
        <v>731</v>
      </c>
      <c r="E54" s="126">
        <v>421851.5</v>
      </c>
      <c r="F54" s="119" t="s">
        <v>732</v>
      </c>
      <c r="G54" s="37"/>
      <c r="H54" s="3">
        <f t="shared" ref="H54:H56" si="75">+I54+K54+M54+N54</f>
        <v>3601732.3460000004</v>
      </c>
      <c r="I54" s="4">
        <f>+J54*FD54*0.3025</f>
        <v>1022557.6</v>
      </c>
      <c r="J54">
        <f>+FE54</f>
        <v>50.001970321174696</v>
      </c>
      <c r="K54" s="4">
        <f>+EI54*L54*0.3025</f>
        <v>2321637.4000000004</v>
      </c>
      <c r="L54">
        <f>+EJ54</f>
        <v>45.031915438888994</v>
      </c>
      <c r="M54" s="4">
        <v>38116</v>
      </c>
      <c r="N54" s="3">
        <f>49469-2093.654+172046</f>
        <v>219421.34599999999</v>
      </c>
      <c r="P54" s="3">
        <f>+Q54+R54</f>
        <v>1286474.5219999999</v>
      </c>
      <c r="Q54" s="3">
        <f>+T54*E54*0.3025</f>
        <v>939526.54799999995</v>
      </c>
      <c r="R54" s="3">
        <f>+Q54*S54</f>
        <v>346947.97399999999</v>
      </c>
      <c r="S54" s="12">
        <f t="shared" si="73"/>
        <v>0.36927958527468879</v>
      </c>
      <c r="T54" s="39">
        <f t="shared" si="73"/>
        <v>7.3624791803523584</v>
      </c>
      <c r="U54" s="10"/>
      <c r="V54" s="3">
        <v>2293943</v>
      </c>
      <c r="W54" s="3">
        <v>2233452</v>
      </c>
      <c r="X54" s="4">
        <f>+V54-W54</f>
        <v>60491</v>
      </c>
      <c r="Z54">
        <v>2</v>
      </c>
      <c r="AA54" s="79"/>
      <c r="AB54" s="1">
        <v>65.099999999999994</v>
      </c>
      <c r="AC54" s="1">
        <v>1555</v>
      </c>
      <c r="AD54" s="60">
        <v>2525</v>
      </c>
      <c r="AE54" s="60">
        <v>88</v>
      </c>
      <c r="AF54" s="31">
        <v>46160</v>
      </c>
      <c r="AH54" s="3">
        <f>+AR54*L54*0.3025</f>
        <v>1531.811264558678</v>
      </c>
      <c r="AI54" s="3">
        <f t="shared" si="43"/>
        <v>1700.8732726913688</v>
      </c>
      <c r="AJ54" s="13">
        <f>+(H54-P54)/V54</f>
        <v>1.0092917844950813</v>
      </c>
      <c r="AL54" t="s">
        <v>735</v>
      </c>
      <c r="AM54" t="s">
        <v>736</v>
      </c>
      <c r="AN54">
        <v>2135</v>
      </c>
      <c r="AO54" s="31">
        <f>+AF54</f>
        <v>46160</v>
      </c>
      <c r="AP54">
        <v>109</v>
      </c>
      <c r="AQ54">
        <f>+AN54/(AP54*0.3025)</f>
        <v>64.750928804306625</v>
      </c>
      <c r="AR54">
        <v>112.45</v>
      </c>
      <c r="AS54" s="92">
        <v>0.15</v>
      </c>
      <c r="AT54" s="3">
        <f t="shared" si="12"/>
        <v>2532.9620412844038</v>
      </c>
      <c r="AU54">
        <f>+AD54+AZ54</f>
        <v>2487.3625396688267</v>
      </c>
      <c r="AV54">
        <f>+AT54-AU54</f>
        <v>45.599501615577083</v>
      </c>
      <c r="AZ54" s="4">
        <f>+AH54-(AC54*AJ54)</f>
        <v>-37.637460331173315</v>
      </c>
      <c r="BB54" s="13">
        <f t="shared" ref="BB54:BB56" si="76">+AV54/AU54</f>
        <v>1.833247099622571E-2</v>
      </c>
      <c r="BF54" s="3">
        <f>+BG54+BH54</f>
        <v>1286474.5219999999</v>
      </c>
      <c r="BG54" s="3">
        <v>939526.54799999995</v>
      </c>
      <c r="BH54" s="4">
        <v>346947.97399999999</v>
      </c>
      <c r="BI54" s="10">
        <f>+BH54/BG54</f>
        <v>0.36927958527468879</v>
      </c>
      <c r="BJ54" s="38">
        <f>+BG54/(E54*0.3025)</f>
        <v>7.3624791803523584</v>
      </c>
      <c r="BS54" s="1"/>
      <c r="BW54" s="22"/>
      <c r="BX54" s="22"/>
      <c r="BY54" s="22"/>
      <c r="BZ54" s="22"/>
      <c r="CA54" s="22"/>
      <c r="CB54" s="22"/>
      <c r="CD54" s="1"/>
      <c r="CN54" s="4"/>
      <c r="CO54" s="4"/>
      <c r="CP54" s="3"/>
      <c r="CQ54" s="4"/>
      <c r="CR54" s="66"/>
      <c r="CS54" s="66"/>
      <c r="CT54" s="4"/>
      <c r="CU54" s="4"/>
      <c r="CV54" s="4"/>
      <c r="CZ54" s="3"/>
      <c r="DA54" s="3"/>
      <c r="DB54" s="3"/>
      <c r="DG54" s="79"/>
      <c r="DH54" s="122"/>
      <c r="DI54" s="122"/>
      <c r="DJ54" s="60"/>
      <c r="DK54" s="60"/>
      <c r="DL54" s="31"/>
      <c r="DP54">
        <v>2321637.4</v>
      </c>
      <c r="DQ54">
        <v>194</v>
      </c>
      <c r="DR54">
        <v>80.150000000000006</v>
      </c>
      <c r="DS54">
        <v>562</v>
      </c>
      <c r="DT54">
        <v>112.45</v>
      </c>
      <c r="DU54">
        <v>230</v>
      </c>
      <c r="DV54">
        <v>131.44999999999999</v>
      </c>
      <c r="DW54">
        <v>232</v>
      </c>
      <c r="DX54">
        <v>155</v>
      </c>
      <c r="DY54">
        <v>100</v>
      </c>
      <c r="DZ54">
        <v>173</v>
      </c>
      <c r="EA54">
        <v>37</v>
      </c>
      <c r="EB54">
        <v>187.5</v>
      </c>
      <c r="EC54">
        <v>6</v>
      </c>
      <c r="ED54">
        <v>209</v>
      </c>
      <c r="EI54">
        <f>+DQ54*DR54+DS54*DT54+DU54*DV54+DW54*DX54+DY54*DZ54+EA54*EB54+EC54*ED54+EE54*EF54+EG54*EH54</f>
        <v>170431</v>
      </c>
      <c r="EJ54">
        <f>+DP54/(EI54*0.3025)</f>
        <v>45.031915438888994</v>
      </c>
      <c r="EK54">
        <v>1022557.6</v>
      </c>
      <c r="EL54">
        <v>77</v>
      </c>
      <c r="EM54">
        <v>80.150000000000006</v>
      </c>
      <c r="EN54">
        <v>221</v>
      </c>
      <c r="EO54">
        <v>112.45</v>
      </c>
      <c r="EP54">
        <v>91</v>
      </c>
      <c r="EQ54">
        <v>131.44999999999999</v>
      </c>
      <c r="ER54">
        <v>92</v>
      </c>
      <c r="ES54">
        <v>155</v>
      </c>
      <c r="ET54">
        <v>40</v>
      </c>
      <c r="EU54">
        <v>173</v>
      </c>
      <c r="EV54">
        <v>15</v>
      </c>
      <c r="EW54">
        <v>187.5</v>
      </c>
      <c r="EX54">
        <v>3</v>
      </c>
      <c r="EY54">
        <v>209</v>
      </c>
      <c r="FD54">
        <f>+EL54*EM54+EN54*EO54+EP54*EQ54+ER54*ES54+ET54*EU54+EV54*EW54+EX54*EY54+EZ54*FA54+FB54*FC54</f>
        <v>67604.45</v>
      </c>
      <c r="FE54">
        <f>+EK54/(FD54*0.3025)</f>
        <v>50.001970321174696</v>
      </c>
    </row>
    <row r="55" spans="1:161" x14ac:dyDescent="0.55000000000000004">
      <c r="A55" t="s">
        <v>608</v>
      </c>
      <c r="B55" t="s">
        <v>610</v>
      </c>
      <c r="C55" s="31">
        <v>45520</v>
      </c>
      <c r="D55" s="31" t="s">
        <v>731</v>
      </c>
      <c r="E55" s="126">
        <v>421851.5</v>
      </c>
      <c r="F55" s="119" t="s">
        <v>732</v>
      </c>
      <c r="G55" s="37"/>
      <c r="H55" s="3">
        <f t="shared" si="75"/>
        <v>3601732.3460000004</v>
      </c>
      <c r="I55" s="4">
        <f>+J55*FD55*0.3025</f>
        <v>1022557.6</v>
      </c>
      <c r="J55">
        <f>+FE55</f>
        <v>50.001970321174696</v>
      </c>
      <c r="K55" s="4">
        <f>+EI55*L55*0.3025</f>
        <v>2321637.4000000004</v>
      </c>
      <c r="L55">
        <f>+EJ55</f>
        <v>45.031915438888994</v>
      </c>
      <c r="M55" s="4">
        <v>38116</v>
      </c>
      <c r="N55" s="3">
        <f>49469-2093.654+172046</f>
        <v>219421.34599999999</v>
      </c>
      <c r="P55" s="3">
        <f>+Q55+R55</f>
        <v>1286474.5219999999</v>
      </c>
      <c r="Q55" s="3">
        <f>+T55*E55*0.3025</f>
        <v>939526.54799999995</v>
      </c>
      <c r="R55" s="3">
        <f>+Q55*S55</f>
        <v>346947.97399999999</v>
      </c>
      <c r="S55" s="12">
        <f t="shared" si="73"/>
        <v>0.36927958527468879</v>
      </c>
      <c r="T55" s="39">
        <f t="shared" si="73"/>
        <v>7.3624791803523584</v>
      </c>
      <c r="U55" s="10"/>
      <c r="V55" s="3">
        <v>2293943</v>
      </c>
      <c r="W55" s="3">
        <v>2233452</v>
      </c>
      <c r="X55" s="4">
        <f>+V55-W55</f>
        <v>60491</v>
      </c>
      <c r="Z55">
        <v>3</v>
      </c>
      <c r="AA55" s="79"/>
      <c r="AB55" s="1">
        <v>95.03</v>
      </c>
      <c r="AC55" s="1">
        <v>1931</v>
      </c>
      <c r="AD55" s="60">
        <v>2950</v>
      </c>
      <c r="AE55" s="60">
        <v>115</v>
      </c>
      <c r="AF55" s="31">
        <v>46160</v>
      </c>
      <c r="AH55" s="3">
        <f>+AR55*L55*0.3025</f>
        <v>1531.811264558678</v>
      </c>
      <c r="AI55" s="3">
        <f t="shared" si="43"/>
        <v>1700.8732726913688</v>
      </c>
      <c r="AJ55" s="13">
        <f>+(H55-P55)/V55</f>
        <v>1.0092917844950813</v>
      </c>
      <c r="AL55" t="s">
        <v>735</v>
      </c>
      <c r="AM55" t="s">
        <v>736</v>
      </c>
      <c r="AN55">
        <v>2135</v>
      </c>
      <c r="AO55" s="31">
        <f>+AF55</f>
        <v>46160</v>
      </c>
      <c r="AP55">
        <v>109</v>
      </c>
      <c r="AQ55">
        <f>+AN55/(AP55*0.3025)</f>
        <v>64.750928804306625</v>
      </c>
      <c r="AR55">
        <v>112.45</v>
      </c>
      <c r="AS55" s="92">
        <v>0.15</v>
      </c>
      <c r="AT55" s="3">
        <f t="shared" si="12"/>
        <v>2532.9620412844038</v>
      </c>
      <c r="AU55">
        <f>+AD55+AZ55</f>
        <v>2532.8688286986762</v>
      </c>
      <c r="AV55">
        <f>+AT55-AU55</f>
        <v>9.3212585727542319E-2</v>
      </c>
      <c r="AZ55" s="4">
        <f>+AH55-(AC55*AJ55)</f>
        <v>-417.131171301324</v>
      </c>
      <c r="BB55" s="13">
        <f t="shared" si="76"/>
        <v>3.6801189493666983E-5</v>
      </c>
      <c r="BF55" s="3">
        <f>+BG55+BH55</f>
        <v>1286474.5219999999</v>
      </c>
      <c r="BG55" s="3">
        <v>939526.54799999995</v>
      </c>
      <c r="BH55" s="4">
        <v>346947.97399999999</v>
      </c>
      <c r="BI55" s="10">
        <f>+BH55/BG55</f>
        <v>0.36927958527468879</v>
      </c>
      <c r="BJ55" s="38">
        <f>+BG55/(E55*0.3025)</f>
        <v>7.3624791803523584</v>
      </c>
      <c r="BS55" s="1"/>
      <c r="BW55" s="22"/>
      <c r="BX55" s="22"/>
      <c r="BY55" s="22"/>
      <c r="BZ55" s="22"/>
      <c r="CA55" s="22"/>
      <c r="CB55" s="22"/>
      <c r="CD55" s="1"/>
      <c r="CN55" s="4"/>
      <c r="CO55" s="4"/>
      <c r="CP55" s="3"/>
      <c r="CQ55" s="4"/>
      <c r="CR55" s="66"/>
      <c r="CS55" s="66"/>
      <c r="CT55" s="4"/>
      <c r="CU55" s="4"/>
      <c r="CV55" s="4"/>
      <c r="CZ55" s="3"/>
      <c r="DA55" s="3"/>
      <c r="DB55" s="3"/>
      <c r="DG55" s="79"/>
      <c r="DH55" s="122"/>
      <c r="DI55" s="122"/>
      <c r="DJ55" s="60"/>
      <c r="DK55" s="60"/>
      <c r="DL55" s="31"/>
      <c r="DP55">
        <v>2321637.4</v>
      </c>
      <c r="DQ55">
        <v>194</v>
      </c>
      <c r="DR55">
        <v>80.150000000000006</v>
      </c>
      <c r="DS55">
        <v>562</v>
      </c>
      <c r="DT55">
        <v>112.45</v>
      </c>
      <c r="DU55">
        <v>230</v>
      </c>
      <c r="DV55">
        <v>131.44999999999999</v>
      </c>
      <c r="DW55">
        <v>232</v>
      </c>
      <c r="DX55">
        <v>155</v>
      </c>
      <c r="DY55">
        <v>100</v>
      </c>
      <c r="DZ55">
        <v>173</v>
      </c>
      <c r="EA55">
        <v>37</v>
      </c>
      <c r="EB55">
        <v>187.5</v>
      </c>
      <c r="EC55">
        <v>6</v>
      </c>
      <c r="ED55">
        <v>209</v>
      </c>
      <c r="EI55">
        <f>+DQ55*DR55+DS55*DT55+DU55*DV55+DW55*DX55+DY55*DZ55+EA55*EB55+EC55*ED55+EE55*EF55+EG55*EH55</f>
        <v>170431</v>
      </c>
      <c r="EJ55">
        <f>+DP55/(EI55*0.3025)</f>
        <v>45.031915438888994</v>
      </c>
      <c r="EK55">
        <v>1022557.6</v>
      </c>
      <c r="EL55">
        <v>77</v>
      </c>
      <c r="EM55">
        <v>80.150000000000006</v>
      </c>
      <c r="EN55">
        <v>221</v>
      </c>
      <c r="EO55">
        <v>112.45</v>
      </c>
      <c r="EP55">
        <v>91</v>
      </c>
      <c r="EQ55">
        <v>131.44999999999999</v>
      </c>
      <c r="ER55">
        <v>92</v>
      </c>
      <c r="ES55">
        <v>155</v>
      </c>
      <c r="ET55">
        <v>40</v>
      </c>
      <c r="EU55">
        <v>173</v>
      </c>
      <c r="EV55">
        <v>15</v>
      </c>
      <c r="EW55">
        <v>187.5</v>
      </c>
      <c r="EX55">
        <v>3</v>
      </c>
      <c r="EY55">
        <v>209</v>
      </c>
      <c r="FD55">
        <f>+EL55*EM55+EN55*EO55+EP55*EQ55+ER55*ES55+ET55*EU55+EV55*EW55+EX55*EY55+EZ55*FA55+FB55*FC55</f>
        <v>67604.45</v>
      </c>
      <c r="FE55">
        <f>+EK55/(FD55*0.3025)</f>
        <v>50.001970321174696</v>
      </c>
    </row>
    <row r="56" spans="1:161" x14ac:dyDescent="0.55000000000000004">
      <c r="A56" t="s">
        <v>608</v>
      </c>
      <c r="B56" t="s">
        <v>610</v>
      </c>
      <c r="C56" s="31">
        <v>45520</v>
      </c>
      <c r="D56" s="31" t="s">
        <v>731</v>
      </c>
      <c r="E56" s="126">
        <v>421851.5</v>
      </c>
      <c r="F56" s="119" t="s">
        <v>732</v>
      </c>
      <c r="G56" s="37"/>
      <c r="H56" s="3">
        <f t="shared" si="75"/>
        <v>3601732.3460000004</v>
      </c>
      <c r="I56" s="4">
        <f>+J56*FD56*0.3025</f>
        <v>1022557.6</v>
      </c>
      <c r="J56">
        <f>+FE56</f>
        <v>50.001970321174696</v>
      </c>
      <c r="K56" s="4">
        <f>+EI56*L56*0.3025</f>
        <v>2321637.4000000004</v>
      </c>
      <c r="L56">
        <f>+EJ56</f>
        <v>45.031915438888994</v>
      </c>
      <c r="M56" s="4">
        <v>38116</v>
      </c>
      <c r="N56" s="3">
        <f>49469-2093.654+172046</f>
        <v>219421.34599999999</v>
      </c>
      <c r="P56" s="3">
        <f>+Q56+R56</f>
        <v>1286474.5219999999</v>
      </c>
      <c r="Q56" s="3">
        <f>+T56*E56*0.3025</f>
        <v>939526.54799999995</v>
      </c>
      <c r="R56" s="3">
        <f>+Q56*S56</f>
        <v>346947.97399999999</v>
      </c>
      <c r="S56" s="12">
        <f t="shared" si="73"/>
        <v>0.36927958527468879</v>
      </c>
      <c r="T56" s="39">
        <f t="shared" si="73"/>
        <v>7.3624791803523584</v>
      </c>
      <c r="U56" s="10"/>
      <c r="V56" s="3">
        <v>2293943</v>
      </c>
      <c r="W56" s="3">
        <v>2233452</v>
      </c>
      <c r="X56" s="4">
        <f>+V56-W56</f>
        <v>60491</v>
      </c>
      <c r="Z56">
        <v>4</v>
      </c>
      <c r="AA56" s="79"/>
      <c r="AB56" s="1">
        <v>115.19</v>
      </c>
      <c r="AC56" s="1">
        <v>2350</v>
      </c>
      <c r="AD56" s="60">
        <v>3150</v>
      </c>
      <c r="AE56" s="60">
        <v>148</v>
      </c>
      <c r="AF56" s="31">
        <v>46160</v>
      </c>
      <c r="AH56" s="3">
        <f>+AR56*L56*0.3025</f>
        <v>1531.811264558678</v>
      </c>
      <c r="AI56" s="3">
        <f t="shared" si="43"/>
        <v>1700.8732726913688</v>
      </c>
      <c r="AJ56" s="13">
        <f>+(H56-P56)/V56</f>
        <v>1.0092917844950813</v>
      </c>
      <c r="AL56" t="s">
        <v>735</v>
      </c>
      <c r="AM56" t="s">
        <v>736</v>
      </c>
      <c r="AN56">
        <v>2135</v>
      </c>
      <c r="AO56" s="31">
        <f>+AF56</f>
        <v>46160</v>
      </c>
      <c r="AP56">
        <v>109</v>
      </c>
      <c r="AQ56">
        <f>+AN56/(AP56*0.3025)</f>
        <v>64.750928804306625</v>
      </c>
      <c r="AR56">
        <v>112.45</v>
      </c>
      <c r="AS56" s="92">
        <v>0.15</v>
      </c>
      <c r="AT56" s="3">
        <f t="shared" si="12"/>
        <v>2532.9620412844038</v>
      </c>
      <c r="AU56">
        <f>+AD56+AZ56</f>
        <v>2309.9755709952369</v>
      </c>
      <c r="AV56">
        <f>+AT56-AU56</f>
        <v>222.98647028916685</v>
      </c>
      <c r="AZ56" s="4">
        <f>+AH56-(AC56*AJ56)</f>
        <v>-840.02442900476308</v>
      </c>
      <c r="BB56" s="13">
        <f t="shared" si="76"/>
        <v>9.653196037614141E-2</v>
      </c>
      <c r="BF56" s="3">
        <f>+BG56+BH56</f>
        <v>1286474.5219999999</v>
      </c>
      <c r="BG56" s="3">
        <v>939526.54799999995</v>
      </c>
      <c r="BH56" s="4">
        <v>346947.97399999999</v>
      </c>
      <c r="BI56" s="10">
        <f>+BH56/BG56</f>
        <v>0.36927958527468879</v>
      </c>
      <c r="BJ56" s="38">
        <f>+BG56/(E56*0.3025)</f>
        <v>7.3624791803523584</v>
      </c>
      <c r="BS56" s="1"/>
      <c r="BW56" s="22"/>
      <c r="BX56" s="22"/>
      <c r="BY56" s="22"/>
      <c r="BZ56" s="22"/>
      <c r="CA56" s="22"/>
      <c r="CB56" s="22"/>
      <c r="CD56" s="1"/>
      <c r="CN56" s="4"/>
      <c r="CO56" s="4"/>
      <c r="CP56" s="3"/>
      <c r="CQ56" s="4"/>
      <c r="CR56" s="66"/>
      <c r="CS56" s="66"/>
      <c r="CT56" s="4"/>
      <c r="CU56" s="4"/>
      <c r="CV56" s="4"/>
      <c r="CZ56" s="3"/>
      <c r="DA56" s="3"/>
      <c r="DB56" s="3"/>
      <c r="DG56" s="79"/>
      <c r="DH56" s="122"/>
      <c r="DI56" s="122"/>
      <c r="DJ56" s="60"/>
      <c r="DK56" s="60"/>
      <c r="DL56" s="31"/>
      <c r="DP56">
        <v>2321637.4</v>
      </c>
      <c r="DQ56">
        <v>194</v>
      </c>
      <c r="DR56">
        <v>80.150000000000006</v>
      </c>
      <c r="DS56">
        <v>562</v>
      </c>
      <c r="DT56">
        <v>112.45</v>
      </c>
      <c r="DU56">
        <v>230</v>
      </c>
      <c r="DV56">
        <v>131.44999999999999</v>
      </c>
      <c r="DW56">
        <v>232</v>
      </c>
      <c r="DX56">
        <v>155</v>
      </c>
      <c r="DY56">
        <v>100</v>
      </c>
      <c r="DZ56">
        <v>173</v>
      </c>
      <c r="EA56">
        <v>37</v>
      </c>
      <c r="EB56">
        <v>187.5</v>
      </c>
      <c r="EC56">
        <v>6</v>
      </c>
      <c r="ED56">
        <v>209</v>
      </c>
      <c r="EI56">
        <f>+DQ56*DR56+DS56*DT56+DU56*DV56+DW56*DX56+DY56*DZ56+EA56*EB56+EC56*ED56+EE56*EF56+EG56*EH56</f>
        <v>170431</v>
      </c>
      <c r="EJ56">
        <f>+DP56/(EI56*0.3025)</f>
        <v>45.031915438888994</v>
      </c>
      <c r="EK56">
        <v>1022557.6</v>
      </c>
      <c r="EL56">
        <v>77</v>
      </c>
      <c r="EM56">
        <v>80.150000000000006</v>
      </c>
      <c r="EN56">
        <v>221</v>
      </c>
      <c r="EO56">
        <v>112.45</v>
      </c>
      <c r="EP56">
        <v>91</v>
      </c>
      <c r="EQ56">
        <v>131.44999999999999</v>
      </c>
      <c r="ER56">
        <v>92</v>
      </c>
      <c r="ES56">
        <v>155</v>
      </c>
      <c r="ET56">
        <v>40</v>
      </c>
      <c r="EU56">
        <v>173</v>
      </c>
      <c r="EV56">
        <v>15</v>
      </c>
      <c r="EW56">
        <v>187.5</v>
      </c>
      <c r="EX56">
        <v>3</v>
      </c>
      <c r="EY56">
        <v>209</v>
      </c>
      <c r="FD56">
        <f>+EL56*EM56+EN56*EO56+EP56*EQ56+ER56*ES56+ET56*EU56+EV56*EW56+EX56*EY56+EZ56*FA56+FB56*FC56</f>
        <v>67604.45</v>
      </c>
      <c r="FE56">
        <f>+EK56/(FD56*0.3025)</f>
        <v>50.001970321174696</v>
      </c>
    </row>
    <row r="57" spans="1:161" x14ac:dyDescent="0.55000000000000004">
      <c r="A57" t="s">
        <v>608</v>
      </c>
      <c r="B57" t="s">
        <v>610</v>
      </c>
      <c r="C57" s="31">
        <v>45520</v>
      </c>
      <c r="D57" s="31" t="s">
        <v>731</v>
      </c>
      <c r="E57" s="126">
        <v>421851.5</v>
      </c>
      <c r="F57" s="119" t="s">
        <v>732</v>
      </c>
      <c r="G57" s="37"/>
      <c r="H57" s="3">
        <f t="shared" ref="H57" si="77">+I57+K57+M57+N57</f>
        <v>3601732.3460000004</v>
      </c>
      <c r="I57" s="4">
        <f>+J57*FD57*0.3025</f>
        <v>1022557.6</v>
      </c>
      <c r="J57">
        <f>+FE57</f>
        <v>50.001970321174696</v>
      </c>
      <c r="K57" s="4">
        <f>+EI57*L57*0.3025</f>
        <v>2321637.4000000004</v>
      </c>
      <c r="L57">
        <f>+EJ57</f>
        <v>45.031915438888994</v>
      </c>
      <c r="M57" s="4">
        <v>38116</v>
      </c>
      <c r="N57" s="3">
        <f>49469-2093.654+172046</f>
        <v>219421.34599999999</v>
      </c>
      <c r="P57" s="3">
        <f>+Q57+R57</f>
        <v>1286474.5219999999</v>
      </c>
      <c r="Q57" s="3">
        <f>+T57*E57*0.3025</f>
        <v>939526.54799999995</v>
      </c>
      <c r="R57" s="3">
        <f>+Q57*S57</f>
        <v>346947.97399999999</v>
      </c>
      <c r="S57" s="12">
        <f t="shared" si="73"/>
        <v>0.36927958527468879</v>
      </c>
      <c r="T57" s="39">
        <f t="shared" si="73"/>
        <v>7.3624791803523584</v>
      </c>
      <c r="U57" s="10"/>
      <c r="V57" s="3">
        <v>2293943</v>
      </c>
      <c r="W57" s="3">
        <v>2233452</v>
      </c>
      <c r="X57" s="4">
        <f>+V57-W57</f>
        <v>60491</v>
      </c>
      <c r="Z57">
        <v>5</v>
      </c>
      <c r="AA57" s="79"/>
      <c r="AB57" s="1">
        <v>142.38999999999999</v>
      </c>
      <c r="AC57" s="1">
        <v>2548</v>
      </c>
      <c r="AD57" s="60">
        <v>3600</v>
      </c>
      <c r="AE57" s="60">
        <v>179</v>
      </c>
      <c r="AF57" s="31">
        <v>46160</v>
      </c>
      <c r="AH57" s="3">
        <f>+AR57*L57*0.3025</f>
        <v>1531.811264558678</v>
      </c>
      <c r="AI57" s="3">
        <f t="shared" si="43"/>
        <v>1700.8732726913688</v>
      </c>
      <c r="AJ57" s="13">
        <f>+(H57-P57)/V57</f>
        <v>1.0092917844950813</v>
      </c>
      <c r="AL57" t="s">
        <v>735</v>
      </c>
      <c r="AM57" t="s">
        <v>736</v>
      </c>
      <c r="AN57">
        <v>2135</v>
      </c>
      <c r="AO57" s="31">
        <f>+AF57</f>
        <v>46160</v>
      </c>
      <c r="AP57">
        <v>109</v>
      </c>
      <c r="AQ57">
        <f>+AN57/(AP57*0.3025)</f>
        <v>64.750928804306625</v>
      </c>
      <c r="AR57">
        <v>112.45</v>
      </c>
      <c r="AS57" s="92">
        <v>0.15</v>
      </c>
      <c r="AT57" s="3">
        <f t="shared" si="12"/>
        <v>2532.9620412844038</v>
      </c>
      <c r="AU57">
        <f>+AD57+AZ57</f>
        <v>2560.1357976652107</v>
      </c>
      <c r="AV57">
        <f>+AT57-AU57</f>
        <v>-27.173756380806935</v>
      </c>
      <c r="AZ57" s="4">
        <f>+AH57-(AC57*AJ57)</f>
        <v>-1039.8642023347893</v>
      </c>
      <c r="BB57" s="13">
        <f t="shared" ref="BB57" si="78">+AV57/AU57</f>
        <v>-1.0614185546559218E-2</v>
      </c>
      <c r="BF57" s="3">
        <f>+BG57+BH57</f>
        <v>1286474.5219999999</v>
      </c>
      <c r="BG57" s="3">
        <v>939526.54799999995</v>
      </c>
      <c r="BH57" s="4">
        <v>346947.97399999999</v>
      </c>
      <c r="BI57" s="10">
        <f>+BH57/BG57</f>
        <v>0.36927958527468879</v>
      </c>
      <c r="BJ57" s="38">
        <f>+BG57/(E57*0.3025)</f>
        <v>7.3624791803523584</v>
      </c>
      <c r="BS57" s="1"/>
      <c r="BW57" s="22"/>
      <c r="BX57" s="22"/>
      <c r="BY57" s="22"/>
      <c r="BZ57" s="22"/>
      <c r="CA57" s="22"/>
      <c r="CB57" s="22"/>
      <c r="CD57" s="1"/>
      <c r="CN57" s="4"/>
      <c r="CO57" s="4"/>
      <c r="CP57" s="3"/>
      <c r="CQ57" s="4"/>
      <c r="CR57" s="66"/>
      <c r="CS57" s="66"/>
      <c r="CT57" s="4"/>
      <c r="CU57" s="4"/>
      <c r="CV57" s="4"/>
      <c r="CZ57" s="3"/>
      <c r="DA57" s="3"/>
      <c r="DB57" s="3"/>
      <c r="DG57" s="79"/>
      <c r="DH57" s="122"/>
      <c r="DI57" s="122"/>
      <c r="DJ57" s="60"/>
      <c r="DK57" s="60"/>
      <c r="DL57" s="31"/>
      <c r="DP57">
        <v>2321637.4</v>
      </c>
      <c r="DQ57">
        <v>194</v>
      </c>
      <c r="DR57">
        <v>80.150000000000006</v>
      </c>
      <c r="DS57">
        <v>562</v>
      </c>
      <c r="DT57">
        <v>112.45</v>
      </c>
      <c r="DU57">
        <v>230</v>
      </c>
      <c r="DV57">
        <v>131.44999999999999</v>
      </c>
      <c r="DW57">
        <v>232</v>
      </c>
      <c r="DX57">
        <v>155</v>
      </c>
      <c r="DY57">
        <v>100</v>
      </c>
      <c r="DZ57">
        <v>173</v>
      </c>
      <c r="EA57">
        <v>37</v>
      </c>
      <c r="EB57">
        <v>187.5</v>
      </c>
      <c r="EC57">
        <v>6</v>
      </c>
      <c r="ED57">
        <v>209</v>
      </c>
      <c r="EI57">
        <f>+DQ57*DR57+DS57*DT57+DU57*DV57+DW57*DX57+DY57*DZ57+EA57*EB57+EC57*ED57+EE57*EF57+EG57*EH57</f>
        <v>170431</v>
      </c>
      <c r="EJ57">
        <f>+DP57/(EI57*0.3025)</f>
        <v>45.031915438888994</v>
      </c>
      <c r="EK57">
        <v>1022557.6</v>
      </c>
      <c r="EL57">
        <v>77</v>
      </c>
      <c r="EM57">
        <v>80.150000000000006</v>
      </c>
      <c r="EN57">
        <v>221</v>
      </c>
      <c r="EO57">
        <v>112.45</v>
      </c>
      <c r="EP57">
        <v>91</v>
      </c>
      <c r="EQ57">
        <v>131.44999999999999</v>
      </c>
      <c r="ER57">
        <v>92</v>
      </c>
      <c r="ES57">
        <v>155</v>
      </c>
      <c r="ET57">
        <v>40</v>
      </c>
      <c r="EU57">
        <v>173</v>
      </c>
      <c r="EV57">
        <v>15</v>
      </c>
      <c r="EW57">
        <v>187.5</v>
      </c>
      <c r="EX57">
        <v>3</v>
      </c>
      <c r="EY57">
        <v>209</v>
      </c>
      <c r="FD57">
        <f>+EL57*EM57+EN57*EO57+EP57*EQ57+ER57*ES57+ET57*EU57+EV57*EW57+EX57*EY57+EZ57*FA57+FB57*FC57</f>
        <v>67604.45</v>
      </c>
      <c r="FE57">
        <f>+EK57/(FD57*0.3025)</f>
        <v>50.001970321174696</v>
      </c>
    </row>
    <row r="58" spans="1:161" x14ac:dyDescent="0.55000000000000004">
      <c r="C58" s="31"/>
      <c r="D58" s="31"/>
      <c r="E58" s="126"/>
      <c r="F58" s="119"/>
      <c r="G58" s="37"/>
      <c r="H58" s="3"/>
      <c r="I58" s="4"/>
      <c r="K58" s="4"/>
      <c r="M58" s="4"/>
      <c r="N58" s="3"/>
      <c r="P58" s="3"/>
      <c r="Q58" s="3"/>
      <c r="R58" s="4"/>
      <c r="S58" s="120"/>
      <c r="T58" s="121"/>
      <c r="U58" s="10"/>
      <c r="V58" s="3"/>
      <c r="W58" s="3"/>
      <c r="X58" s="4"/>
      <c r="AA58" s="79"/>
      <c r="AB58" s="34"/>
      <c r="AC58" s="127"/>
      <c r="AD58" s="60"/>
      <c r="AE58" s="60"/>
      <c r="AF58" s="31"/>
      <c r="AH58" s="3"/>
      <c r="AI58" s="3">
        <f t="shared" si="43"/>
        <v>0</v>
      </c>
      <c r="AJ58" s="13"/>
      <c r="AO58" s="31"/>
      <c r="AT58" s="3">
        <f t="shared" si="12"/>
        <v>0</v>
      </c>
      <c r="AZ58" s="4"/>
      <c r="BB58" s="13"/>
      <c r="BF58" s="3"/>
      <c r="BG58" s="3"/>
      <c r="BH58" s="4"/>
      <c r="BI58" s="10"/>
      <c r="BJ58" s="38"/>
      <c r="BS58" s="1"/>
      <c r="BW58" s="22"/>
      <c r="BX58" s="22"/>
      <c r="BY58" s="22"/>
      <c r="BZ58" s="22"/>
      <c r="CA58" s="22"/>
      <c r="CB58" s="22"/>
      <c r="CD58" s="1"/>
      <c r="CN58" s="4"/>
      <c r="CO58" s="4"/>
      <c r="CP58" s="3"/>
      <c r="CQ58" s="4"/>
      <c r="CR58" s="66"/>
      <c r="CS58" s="66"/>
      <c r="CT58" s="4"/>
      <c r="CU58" s="4"/>
      <c r="CV58" s="4"/>
      <c r="CZ58" s="3"/>
      <c r="DA58" s="3"/>
      <c r="DB58" s="3"/>
      <c r="DG58" s="79"/>
      <c r="DH58" s="122"/>
      <c r="DI58" s="122"/>
      <c r="DJ58" s="60"/>
      <c r="DK58" s="60"/>
      <c r="DL58" s="31"/>
    </row>
    <row r="59" spans="1:161" x14ac:dyDescent="0.55000000000000004">
      <c r="A59" t="s">
        <v>756</v>
      </c>
      <c r="B59" t="s">
        <v>758</v>
      </c>
      <c r="C59" s="31">
        <v>45701</v>
      </c>
      <c r="D59" s="31" t="s">
        <v>757</v>
      </c>
      <c r="E59" s="126">
        <v>565766.06000000006</v>
      </c>
      <c r="F59" s="119" t="s">
        <v>13</v>
      </c>
      <c r="G59" s="37"/>
      <c r="H59" s="3">
        <f>+I59+K59+M59+N59</f>
        <v>6176899.9999999991</v>
      </c>
      <c r="I59" s="4">
        <f>+J59*CY59*0.3025</f>
        <v>1474278.4281732836</v>
      </c>
      <c r="J59">
        <v>75</v>
      </c>
      <c r="K59" s="4">
        <f>+L59*DA59*0.3025</f>
        <v>3308454.0718267155</v>
      </c>
      <c r="L59">
        <v>58</v>
      </c>
      <c r="M59" s="4">
        <f>+CP59</f>
        <v>61528.5</v>
      </c>
      <c r="N59" s="3">
        <v>1332639</v>
      </c>
      <c r="P59" s="3">
        <f>+Q59+R59</f>
        <v>2729300</v>
      </c>
      <c r="Q59" s="3">
        <f>+T59*E59*0.3025</f>
        <v>2099461.5384615385</v>
      </c>
      <c r="R59" s="3">
        <f>+Q59*S59</f>
        <v>629838.4615384615</v>
      </c>
      <c r="S59" s="12">
        <f t="shared" ref="S59:T62" si="79">+BI59</f>
        <v>0.3</v>
      </c>
      <c r="T59" s="39">
        <f t="shared" si="79"/>
        <v>12.267205852162471</v>
      </c>
      <c r="U59" s="10"/>
      <c r="V59" s="3">
        <v>3612300</v>
      </c>
      <c r="W59" s="3">
        <f>+V59-X59</f>
        <v>3608940</v>
      </c>
      <c r="X59" s="4">
        <f>1330+2030</f>
        <v>3360</v>
      </c>
      <c r="Z59">
        <v>1</v>
      </c>
      <c r="AA59" s="79"/>
      <c r="AB59" s="1">
        <v>60.96</v>
      </c>
      <c r="AC59" s="1">
        <v>1555.9</v>
      </c>
      <c r="AD59" s="60">
        <v>2450</v>
      </c>
      <c r="AE59" s="60">
        <v>69</v>
      </c>
      <c r="AF59" s="31">
        <v>46160</v>
      </c>
      <c r="AH59" s="3">
        <f>+AR59*L59*0.3025</f>
        <v>2000.1299999999999</v>
      </c>
      <c r="AI59" s="3">
        <f t="shared" si="43"/>
        <v>2586.375</v>
      </c>
      <c r="AJ59" s="13">
        <f>+(H59-P59)/V59</f>
        <v>0.95440578025080947</v>
      </c>
      <c r="AL59" t="s">
        <v>762</v>
      </c>
      <c r="AM59" t="s">
        <v>763</v>
      </c>
      <c r="AN59">
        <v>3943.5</v>
      </c>
      <c r="AO59" s="31">
        <v>46162</v>
      </c>
      <c r="AP59">
        <v>117</v>
      </c>
      <c r="AQ59">
        <f>+AN59/(AP59*0.3025)</f>
        <v>111.42191142191143</v>
      </c>
      <c r="AR59">
        <v>114</v>
      </c>
      <c r="AS59" s="92">
        <v>0.1</v>
      </c>
      <c r="AT59" s="3">
        <f t="shared" si="12"/>
        <v>4226.6230769230779</v>
      </c>
      <c r="AU59">
        <f>+AD59+AZ59</f>
        <v>2965.1700465077656</v>
      </c>
      <c r="AV59">
        <f>+AT59-AU59</f>
        <v>1261.4530304153122</v>
      </c>
      <c r="AZ59" s="4">
        <f>+AH59-(AC59*AJ59)</f>
        <v>515.17004650776539</v>
      </c>
      <c r="BB59" s="13">
        <f t="shared" ref="BB59" si="80">+AV59/AU59</f>
        <v>0.4254235037552031</v>
      </c>
      <c r="BF59" s="3">
        <v>2729300</v>
      </c>
      <c r="BG59" s="3">
        <f>+BF59/(1+BI59)</f>
        <v>2099461.5384615385</v>
      </c>
      <c r="BH59" s="4">
        <f>+BF59-BG59</f>
        <v>629838.4615384615</v>
      </c>
      <c r="BI59" s="10">
        <v>0.3</v>
      </c>
      <c r="BJ59" s="38">
        <f>+BG59/(E59*0.3025)</f>
        <v>12.267205852162471</v>
      </c>
      <c r="BO59">
        <v>1584</v>
      </c>
      <c r="BP59">
        <f>+BQ59-BO59</f>
        <v>546</v>
      </c>
      <c r="BQ59">
        <v>2130</v>
      </c>
      <c r="BR59">
        <v>155</v>
      </c>
      <c r="BS59" s="1">
        <v>80</v>
      </c>
      <c r="BT59">
        <f>+ROUND(BR59*BO59/BQ59,0)</f>
        <v>115</v>
      </c>
      <c r="BU59">
        <f>+BR59-BT59</f>
        <v>40</v>
      </c>
      <c r="BV59">
        <v>991</v>
      </c>
      <c r="BW59" s="1">
        <v>114</v>
      </c>
      <c r="BX59" s="22">
        <f>+ROUND(BV59*BO59/BQ59,0)</f>
        <v>737</v>
      </c>
      <c r="BY59" s="22">
        <f>+BV59-BX59</f>
        <v>254</v>
      </c>
      <c r="BZ59" s="22">
        <v>984</v>
      </c>
      <c r="CA59" s="22">
        <f>+CW59</f>
        <v>130.2617828804554</v>
      </c>
      <c r="CB59" s="22">
        <f>+ROUND(BZ59*BO59/BQ59,0)</f>
        <v>732</v>
      </c>
      <c r="CC59">
        <f>+BZ59-CB59</f>
        <v>252</v>
      </c>
      <c r="CD59" s="1"/>
      <c r="CE59">
        <v>343</v>
      </c>
      <c r="CG59">
        <v>153</v>
      </c>
      <c r="CH59">
        <f>+BS59</f>
        <v>80</v>
      </c>
      <c r="CI59">
        <v>190</v>
      </c>
      <c r="CJ59">
        <f>+BW59</f>
        <v>114</v>
      </c>
      <c r="CK59">
        <f>+BQ59+CE59+CF59</f>
        <v>2473</v>
      </c>
      <c r="CM59">
        <v>6</v>
      </c>
      <c r="CN59" s="4">
        <v>6176900</v>
      </c>
      <c r="CO59" s="4">
        <f>+N59</f>
        <v>1332639</v>
      </c>
      <c r="CP59" s="3">
        <f>+CM59*(CG59*CH59+CI59*CJ59)*0.3025</f>
        <v>61528.5</v>
      </c>
      <c r="CQ59" s="4">
        <f>+CN59-CO59-CP59</f>
        <v>4782732.5</v>
      </c>
      <c r="CR59" s="66">
        <f>+J59</f>
        <v>75</v>
      </c>
      <c r="CS59" s="66">
        <f>+L59</f>
        <v>58</v>
      </c>
      <c r="CT59" s="4">
        <f>+(CR59*BS59*BU59+CS59*BS59*BT59)*0.3025</f>
        <v>234014</v>
      </c>
      <c r="CU59" s="4">
        <f>+(CR59*BW59*BY59+CS59*BW59*BX59)*0.3025</f>
        <v>2131035.06</v>
      </c>
      <c r="CV59" s="4">
        <f>+CQ59-CT59-CU59</f>
        <v>2417683.44</v>
      </c>
      <c r="CW59">
        <f>+CV59/(CR59*CC59*0.3025+CS59*CB59*0.3025)</f>
        <v>130.2617828804554</v>
      </c>
      <c r="CY59" s="3">
        <f t="shared" ref="CY59" si="81">+(BS59*BU59+BW59*BY59+CA59*CC59)</f>
        <v>64981.969285874758</v>
      </c>
      <c r="CZ59" s="3">
        <f>+CR59*(BS59*BU59+BW59*BY59+CA59*CC59)*0.3025</f>
        <v>1474278.4281732836</v>
      </c>
      <c r="DA59" s="3">
        <f t="shared" ref="DA59" si="82">+(BS59*BT59+BW59*BX59+CA59*CB59)</f>
        <v>188569.62506849336</v>
      </c>
      <c r="DB59" s="3">
        <f>+CS59*(BS59*BT59+BW59*BX59+CA59*CB59)*0.3025</f>
        <v>3308454.0718267155</v>
      </c>
      <c r="DG59" s="79"/>
      <c r="DH59" s="122"/>
      <c r="DI59" s="122"/>
      <c r="DJ59" s="60"/>
      <c r="DK59" s="60"/>
      <c r="DL59" s="31"/>
    </row>
    <row r="60" spans="1:161" x14ac:dyDescent="0.55000000000000004">
      <c r="A60" t="s">
        <v>756</v>
      </c>
      <c r="B60" t="s">
        <v>758</v>
      </c>
      <c r="C60" s="31">
        <v>45701</v>
      </c>
      <c r="D60" s="31" t="s">
        <v>757</v>
      </c>
      <c r="E60" s="126">
        <v>565766.06000000006</v>
      </c>
      <c r="F60" s="119" t="s">
        <v>13</v>
      </c>
      <c r="G60" s="37"/>
      <c r="H60" s="3">
        <f>+I60+K60+M60+N60</f>
        <v>6176899.9999999991</v>
      </c>
      <c r="I60" s="4">
        <f>+J60*CY60*0.3025</f>
        <v>1474278.4281732836</v>
      </c>
      <c r="J60">
        <v>75</v>
      </c>
      <c r="K60" s="4">
        <f>+L60*DA60*0.3025</f>
        <v>3308454.0718267155</v>
      </c>
      <c r="L60">
        <v>58</v>
      </c>
      <c r="M60" s="4">
        <f>+CP60</f>
        <v>61528.5</v>
      </c>
      <c r="N60" s="3">
        <v>1332639</v>
      </c>
      <c r="P60" s="3">
        <f>+Q60+R60</f>
        <v>2729300</v>
      </c>
      <c r="Q60" s="3">
        <f>+T60*E60*0.3025</f>
        <v>2099461.5384615385</v>
      </c>
      <c r="R60" s="3">
        <f>+Q60*S60</f>
        <v>629838.4615384615</v>
      </c>
      <c r="S60" s="12">
        <f t="shared" si="79"/>
        <v>0.3</v>
      </c>
      <c r="T60" s="39">
        <f t="shared" si="79"/>
        <v>12.267205852162471</v>
      </c>
      <c r="U60" s="10"/>
      <c r="V60" s="3">
        <v>3612300</v>
      </c>
      <c r="W60" s="3">
        <f>+V60-X60</f>
        <v>3608940</v>
      </c>
      <c r="X60" s="4">
        <f>1330+2030</f>
        <v>3360</v>
      </c>
      <c r="Z60">
        <v>2</v>
      </c>
      <c r="AA60" s="79"/>
      <c r="AB60" s="1">
        <v>79.239999999999995</v>
      </c>
      <c r="AC60" s="1">
        <v>1852.04</v>
      </c>
      <c r="AD60" s="60">
        <v>2650</v>
      </c>
      <c r="AE60" s="60">
        <v>79</v>
      </c>
      <c r="AF60" s="31">
        <v>46160</v>
      </c>
      <c r="AH60" s="3">
        <f>+AR60*L60*0.3025</f>
        <v>2000.1299999999999</v>
      </c>
      <c r="AI60" s="3">
        <f t="shared" si="43"/>
        <v>2586.375</v>
      </c>
      <c r="AJ60" s="13">
        <f>+(H60-P60)/V60</f>
        <v>0.95440578025080947</v>
      </c>
      <c r="AL60" t="s">
        <v>762</v>
      </c>
      <c r="AM60" t="s">
        <v>763</v>
      </c>
      <c r="AN60">
        <v>3943.5</v>
      </c>
      <c r="AO60" s="31">
        <v>46162</v>
      </c>
      <c r="AP60">
        <v>117</v>
      </c>
      <c r="AQ60">
        <f>+AN60/(AP60*0.3025)</f>
        <v>111.42191142191143</v>
      </c>
      <c r="AR60">
        <v>114</v>
      </c>
      <c r="AS60" s="92">
        <v>0.1</v>
      </c>
      <c r="AT60" s="3">
        <f t="shared" si="12"/>
        <v>4226.6230769230779</v>
      </c>
      <c r="AU60">
        <f>+AD60+AZ60</f>
        <v>2882.5323187442909</v>
      </c>
      <c r="AV60">
        <f>+AT60-AU60</f>
        <v>1344.0907581787869</v>
      </c>
      <c r="AZ60" s="4">
        <f>+AH60-(AC60*AJ60)</f>
        <v>232.53231874429071</v>
      </c>
      <c r="BB60" s="13">
        <f t="shared" ref="BB60:BB62" si="83">+AV60/AU60</f>
        <v>0.46628818328888999</v>
      </c>
      <c r="BF60" s="3">
        <v>2729300</v>
      </c>
      <c r="BG60" s="3">
        <f>+BF60/(1+BI60)</f>
        <v>2099461.5384615385</v>
      </c>
      <c r="BH60" s="4">
        <f>+BF60-BG60</f>
        <v>629838.4615384615</v>
      </c>
      <c r="BI60" s="10">
        <v>0.3</v>
      </c>
      <c r="BJ60" s="38">
        <f>+BG60/(E60*0.3025)</f>
        <v>12.267205852162471</v>
      </c>
      <c r="BO60">
        <v>1584</v>
      </c>
      <c r="BP60">
        <f>+BQ60-BO60</f>
        <v>546</v>
      </c>
      <c r="BQ60">
        <v>2130</v>
      </c>
      <c r="BR60">
        <v>155</v>
      </c>
      <c r="BS60" s="1">
        <v>80</v>
      </c>
      <c r="BT60">
        <f>+ROUND(BR60*BO60/BQ60,0)</f>
        <v>115</v>
      </c>
      <c r="BU60">
        <f>+BR60-BT60</f>
        <v>40</v>
      </c>
      <c r="BV60">
        <v>991</v>
      </c>
      <c r="BW60" s="1">
        <v>114</v>
      </c>
      <c r="BX60" s="22">
        <f>+ROUND(BV60*BO60/BQ60,0)</f>
        <v>737</v>
      </c>
      <c r="BY60" s="22">
        <f>+BV60-BX60</f>
        <v>254</v>
      </c>
      <c r="BZ60" s="22">
        <v>984</v>
      </c>
      <c r="CA60" s="22">
        <f>+CW60</f>
        <v>130.2617828804554</v>
      </c>
      <c r="CB60" s="22">
        <f>+ROUND(BZ60*BO60/BQ60,0)</f>
        <v>732</v>
      </c>
      <c r="CC60">
        <f>+BZ60-CB60</f>
        <v>252</v>
      </c>
      <c r="CD60" s="1"/>
      <c r="CE60">
        <v>343</v>
      </c>
      <c r="CG60">
        <v>153</v>
      </c>
      <c r="CH60">
        <f>+BS60</f>
        <v>80</v>
      </c>
      <c r="CI60">
        <v>190</v>
      </c>
      <c r="CJ60">
        <f>+BW60</f>
        <v>114</v>
      </c>
      <c r="CK60">
        <f>+BQ60+CE60+CF60</f>
        <v>2473</v>
      </c>
      <c r="CM60">
        <v>6</v>
      </c>
      <c r="CN60" s="4">
        <v>6176900</v>
      </c>
      <c r="CO60" s="4">
        <f>+N60</f>
        <v>1332639</v>
      </c>
      <c r="CP60" s="3">
        <f>+CM60*(CG60*CH60+CI60*CJ60)*0.3025</f>
        <v>61528.5</v>
      </c>
      <c r="CQ60" s="4">
        <f>+CN60-CO60-CP60</f>
        <v>4782732.5</v>
      </c>
      <c r="CR60" s="66">
        <f>+J60</f>
        <v>75</v>
      </c>
      <c r="CS60" s="66">
        <f>+L60</f>
        <v>58</v>
      </c>
      <c r="CT60" s="4">
        <f>+(CR60*BS60*BU60+CS60*BS60*BT60)*0.3025</f>
        <v>234014</v>
      </c>
      <c r="CU60" s="4">
        <f>+(CR60*BW60*BY60+CS60*BW60*BX60)*0.3025</f>
        <v>2131035.06</v>
      </c>
      <c r="CV60" s="4">
        <f>+CQ60-CT60-CU60</f>
        <v>2417683.44</v>
      </c>
      <c r="CW60">
        <f>+CV60/(CR60*CC60*0.3025+CS60*CB60*0.3025)</f>
        <v>130.2617828804554</v>
      </c>
      <c r="CY60" s="3">
        <f t="shared" ref="CY60:CY62" si="84">+(BS60*BU60+BW60*BY60+CA60*CC60)</f>
        <v>64981.969285874758</v>
      </c>
      <c r="CZ60" s="3">
        <f>+CR60*(BS60*BU60+BW60*BY60+CA60*CC60)*0.3025</f>
        <v>1474278.4281732836</v>
      </c>
      <c r="DA60" s="3">
        <f t="shared" ref="DA60:DA62" si="85">+(BS60*BT60+BW60*BX60+CA60*CB60)</f>
        <v>188569.62506849336</v>
      </c>
      <c r="DB60" s="3">
        <f>+CS60*(BS60*BT60+BW60*BX60+CA60*CB60)*0.3025</f>
        <v>3308454.0718267155</v>
      </c>
      <c r="DG60" s="79"/>
      <c r="DH60" s="122"/>
      <c r="DI60" s="122"/>
      <c r="DJ60" s="60"/>
      <c r="DK60" s="60"/>
      <c r="DL60" s="31"/>
    </row>
    <row r="61" spans="1:161" x14ac:dyDescent="0.55000000000000004">
      <c r="A61" t="s">
        <v>756</v>
      </c>
      <c r="B61" t="s">
        <v>758</v>
      </c>
      <c r="C61" s="31">
        <v>45701</v>
      </c>
      <c r="D61" s="31" t="s">
        <v>757</v>
      </c>
      <c r="E61" s="126">
        <v>565766.06000000006</v>
      </c>
      <c r="F61" s="119" t="s">
        <v>13</v>
      </c>
      <c r="G61" s="37"/>
      <c r="H61" s="3">
        <f>+I61+K61+M61+N61</f>
        <v>6176899.9999999991</v>
      </c>
      <c r="I61" s="4">
        <f>+J61*CY61*0.3025</f>
        <v>1474278.4281732836</v>
      </c>
      <c r="J61">
        <v>75</v>
      </c>
      <c r="K61" s="4">
        <f>+L61*DA61*0.3025</f>
        <v>3308454.0718267155</v>
      </c>
      <c r="L61">
        <v>58</v>
      </c>
      <c r="M61" s="4">
        <f>+CP61</f>
        <v>61528.5</v>
      </c>
      <c r="N61" s="3">
        <v>1332639</v>
      </c>
      <c r="P61" s="3">
        <f>+Q61+R61</f>
        <v>2729300</v>
      </c>
      <c r="Q61" s="3">
        <f>+T61*E61*0.3025</f>
        <v>2099461.5384615385</v>
      </c>
      <c r="R61" s="3">
        <f>+Q61*S61</f>
        <v>629838.4615384615</v>
      </c>
      <c r="S61" s="12">
        <f t="shared" si="79"/>
        <v>0.3</v>
      </c>
      <c r="T61" s="39">
        <f t="shared" si="79"/>
        <v>12.267205852162471</v>
      </c>
      <c r="U61" s="10"/>
      <c r="V61" s="3">
        <v>3612300</v>
      </c>
      <c r="W61" s="3">
        <f>+V61-X61</f>
        <v>3608940</v>
      </c>
      <c r="X61" s="4">
        <f>1330+2030</f>
        <v>3360</v>
      </c>
      <c r="Z61">
        <v>3</v>
      </c>
      <c r="AA61" s="79"/>
      <c r="AB61" s="1">
        <v>118.12</v>
      </c>
      <c r="AC61" s="1">
        <v>2387.08</v>
      </c>
      <c r="AD61" s="60">
        <v>3575</v>
      </c>
      <c r="AE61" s="60">
        <v>118</v>
      </c>
      <c r="AF61" s="31">
        <v>46160</v>
      </c>
      <c r="AH61" s="3">
        <f>+AR61*L61*0.3025</f>
        <v>2000.1299999999999</v>
      </c>
      <c r="AI61" s="3">
        <f t="shared" si="43"/>
        <v>2586.375</v>
      </c>
      <c r="AJ61" s="13">
        <f>+(H61-P61)/V61</f>
        <v>0.95440578025080947</v>
      </c>
      <c r="AL61" t="s">
        <v>762</v>
      </c>
      <c r="AM61" t="s">
        <v>763</v>
      </c>
      <c r="AN61">
        <v>3943.5</v>
      </c>
      <c r="AO61" s="31">
        <v>46162</v>
      </c>
      <c r="AP61">
        <v>117</v>
      </c>
      <c r="AQ61">
        <f>+AN61/(AP61*0.3025)</f>
        <v>111.42191142191143</v>
      </c>
      <c r="AR61">
        <v>114</v>
      </c>
      <c r="AS61" s="92">
        <v>0.1</v>
      </c>
      <c r="AT61" s="3">
        <f t="shared" si="12"/>
        <v>4226.6230769230779</v>
      </c>
      <c r="AU61">
        <f>+AD61+AZ61</f>
        <v>3296.887050078898</v>
      </c>
      <c r="AV61">
        <f>+AT61-AU61</f>
        <v>929.73602684417983</v>
      </c>
      <c r="AZ61" s="4">
        <f>+AH61-(AC61*AJ61)</f>
        <v>-278.1129499211022</v>
      </c>
      <c r="BB61" s="13">
        <f t="shared" si="83"/>
        <v>0.28200420964434625</v>
      </c>
      <c r="BF61" s="3">
        <v>2729300</v>
      </c>
      <c r="BG61" s="3">
        <f>+BF61/(1+BI61)</f>
        <v>2099461.5384615385</v>
      </c>
      <c r="BH61" s="4">
        <f>+BF61-BG61</f>
        <v>629838.4615384615</v>
      </c>
      <c r="BI61" s="10">
        <v>0.3</v>
      </c>
      <c r="BJ61" s="38">
        <f>+BG61/(E61*0.3025)</f>
        <v>12.267205852162471</v>
      </c>
      <c r="BO61">
        <v>1584</v>
      </c>
      <c r="BP61">
        <f>+BQ61-BO61</f>
        <v>546</v>
      </c>
      <c r="BQ61">
        <v>2130</v>
      </c>
      <c r="BR61">
        <v>155</v>
      </c>
      <c r="BS61" s="1">
        <v>80</v>
      </c>
      <c r="BT61">
        <f>+ROUND(BR61*BO61/BQ61,0)</f>
        <v>115</v>
      </c>
      <c r="BU61">
        <f>+BR61-BT61</f>
        <v>40</v>
      </c>
      <c r="BV61">
        <v>991</v>
      </c>
      <c r="BW61" s="1">
        <v>114</v>
      </c>
      <c r="BX61" s="22">
        <f>+ROUND(BV61*BO61/BQ61,0)</f>
        <v>737</v>
      </c>
      <c r="BY61" s="22">
        <f>+BV61-BX61</f>
        <v>254</v>
      </c>
      <c r="BZ61" s="22">
        <v>984</v>
      </c>
      <c r="CA61" s="22">
        <f>+CW61</f>
        <v>130.2617828804554</v>
      </c>
      <c r="CB61" s="22">
        <f>+ROUND(BZ61*BO61/BQ61,0)</f>
        <v>732</v>
      </c>
      <c r="CC61">
        <f>+BZ61-CB61</f>
        <v>252</v>
      </c>
      <c r="CD61" s="1"/>
      <c r="CE61">
        <v>343</v>
      </c>
      <c r="CG61">
        <v>153</v>
      </c>
      <c r="CH61">
        <f>+BS61</f>
        <v>80</v>
      </c>
      <c r="CI61">
        <v>190</v>
      </c>
      <c r="CJ61">
        <f>+BW61</f>
        <v>114</v>
      </c>
      <c r="CK61">
        <f>+BQ61+CE61+CF61</f>
        <v>2473</v>
      </c>
      <c r="CM61">
        <v>6</v>
      </c>
      <c r="CN61" s="4">
        <v>6176900</v>
      </c>
      <c r="CO61" s="4">
        <f>+N61</f>
        <v>1332639</v>
      </c>
      <c r="CP61" s="3">
        <f>+CM61*(CG61*CH61+CI61*CJ61)*0.3025</f>
        <v>61528.5</v>
      </c>
      <c r="CQ61" s="4">
        <f>+CN61-CO61-CP61</f>
        <v>4782732.5</v>
      </c>
      <c r="CR61" s="66">
        <f>+J61</f>
        <v>75</v>
      </c>
      <c r="CS61" s="66">
        <f>+L61</f>
        <v>58</v>
      </c>
      <c r="CT61" s="4">
        <f>+(CR61*BS61*BU61+CS61*BS61*BT61)*0.3025</f>
        <v>234014</v>
      </c>
      <c r="CU61" s="4">
        <f>+(CR61*BW61*BY61+CS61*BW61*BX61)*0.3025</f>
        <v>2131035.06</v>
      </c>
      <c r="CV61" s="4">
        <f>+CQ61-CT61-CU61</f>
        <v>2417683.44</v>
      </c>
      <c r="CW61">
        <f>+CV61/(CR61*CC61*0.3025+CS61*CB61*0.3025)</f>
        <v>130.2617828804554</v>
      </c>
      <c r="CY61" s="3">
        <f t="shared" si="84"/>
        <v>64981.969285874758</v>
      </c>
      <c r="CZ61" s="3">
        <f>+CR61*(BS61*BU61+BW61*BY61+CA61*CC61)*0.3025</f>
        <v>1474278.4281732836</v>
      </c>
      <c r="DA61" s="3">
        <f t="shared" si="85"/>
        <v>188569.62506849336</v>
      </c>
      <c r="DB61" s="3">
        <f>+CS61*(BS61*BT61+BW61*BX61+CA61*CB61)*0.3025</f>
        <v>3308454.0718267155</v>
      </c>
      <c r="DG61" s="79"/>
      <c r="DH61" s="122"/>
      <c r="DI61" s="122"/>
      <c r="DJ61" s="60"/>
      <c r="DK61" s="60"/>
      <c r="DL61" s="31"/>
    </row>
    <row r="62" spans="1:161" x14ac:dyDescent="0.55000000000000004">
      <c r="A62" t="s">
        <v>756</v>
      </c>
      <c r="B62" t="s">
        <v>758</v>
      </c>
      <c r="C62" s="31">
        <v>45701</v>
      </c>
      <c r="D62" s="31" t="s">
        <v>757</v>
      </c>
      <c r="E62" s="126">
        <v>565766.06000000006</v>
      </c>
      <c r="F62" s="119" t="s">
        <v>13</v>
      </c>
      <c r="G62" s="37"/>
      <c r="H62" s="3">
        <f>+I62+K62+M62+N62</f>
        <v>6176899.9999999991</v>
      </c>
      <c r="I62" s="4">
        <f>+J62*CY62*0.3025</f>
        <v>1474278.4281732836</v>
      </c>
      <c r="J62">
        <v>75</v>
      </c>
      <c r="K62" s="4">
        <f>+L62*DA62*0.3025</f>
        <v>3308454.0718267155</v>
      </c>
      <c r="L62">
        <v>58</v>
      </c>
      <c r="M62" s="4">
        <f>+CP62</f>
        <v>61528.5</v>
      </c>
      <c r="N62" s="3">
        <v>1332639</v>
      </c>
      <c r="P62" s="3">
        <f>+Q62+R62</f>
        <v>2729300</v>
      </c>
      <c r="Q62" s="3">
        <f>+T62*E62*0.3025</f>
        <v>2099461.5384615385</v>
      </c>
      <c r="R62" s="3">
        <f>+Q62*S62</f>
        <v>629838.4615384615</v>
      </c>
      <c r="S62" s="12">
        <f t="shared" si="79"/>
        <v>0.3</v>
      </c>
      <c r="T62" s="39">
        <f t="shared" si="79"/>
        <v>12.267205852162471</v>
      </c>
      <c r="U62" s="10"/>
      <c r="V62" s="3">
        <v>3612300</v>
      </c>
      <c r="W62" s="3">
        <f>+V62-X62</f>
        <v>3608940</v>
      </c>
      <c r="X62" s="4">
        <f>1330+2030</f>
        <v>3360</v>
      </c>
      <c r="Z62">
        <v>4</v>
      </c>
      <c r="AA62" s="79"/>
      <c r="AB62" s="1">
        <v>156.99</v>
      </c>
      <c r="AC62" s="1">
        <v>2964.5</v>
      </c>
      <c r="AD62" s="60">
        <v>4075</v>
      </c>
      <c r="AE62" s="60">
        <v>156</v>
      </c>
      <c r="AF62" s="31">
        <v>46160</v>
      </c>
      <c r="AH62" s="3">
        <f>+AR62*L62*0.3025</f>
        <v>2000.1299999999999</v>
      </c>
      <c r="AI62" s="3">
        <f t="shared" si="43"/>
        <v>2586.375</v>
      </c>
      <c r="AJ62" s="13">
        <f>+(H62-P62)/V62</f>
        <v>0.95440578025080947</v>
      </c>
      <c r="AL62" t="s">
        <v>762</v>
      </c>
      <c r="AM62" t="s">
        <v>763</v>
      </c>
      <c r="AN62">
        <v>3943.5</v>
      </c>
      <c r="AO62" s="31">
        <v>46162</v>
      </c>
      <c r="AP62">
        <v>117</v>
      </c>
      <c r="AQ62">
        <f>+AN62/(AP62*0.3025)</f>
        <v>111.42191142191143</v>
      </c>
      <c r="AR62">
        <v>114</v>
      </c>
      <c r="AS62" s="92">
        <v>0.1</v>
      </c>
      <c r="AT62" s="3">
        <f t="shared" si="12"/>
        <v>4226.6230769230779</v>
      </c>
      <c r="AU62">
        <f>+AD62+AZ62</f>
        <v>3245.7940644464752</v>
      </c>
      <c r="AV62">
        <f>+AT62-AU62</f>
        <v>980.82901247660266</v>
      </c>
      <c r="AZ62" s="4">
        <f>+AH62-(AC62*AJ62)</f>
        <v>-829.20593555352457</v>
      </c>
      <c r="BB62" s="13">
        <f t="shared" si="83"/>
        <v>0.30218460968313754</v>
      </c>
      <c r="BF62" s="3">
        <v>2729300</v>
      </c>
      <c r="BG62" s="3">
        <f>+BF62/(1+BI62)</f>
        <v>2099461.5384615385</v>
      </c>
      <c r="BH62" s="4">
        <f>+BF62-BG62</f>
        <v>629838.4615384615</v>
      </c>
      <c r="BI62" s="10">
        <v>0.3</v>
      </c>
      <c r="BJ62" s="38">
        <f>+BG62/(E62*0.3025)</f>
        <v>12.267205852162471</v>
      </c>
      <c r="BO62">
        <v>1584</v>
      </c>
      <c r="BP62">
        <f>+BQ62-BO62</f>
        <v>546</v>
      </c>
      <c r="BQ62">
        <v>2130</v>
      </c>
      <c r="BR62">
        <v>155</v>
      </c>
      <c r="BS62" s="1">
        <v>80</v>
      </c>
      <c r="BT62">
        <f>+ROUND(BR62*BO62/BQ62,0)</f>
        <v>115</v>
      </c>
      <c r="BU62">
        <f>+BR62-BT62</f>
        <v>40</v>
      </c>
      <c r="BV62">
        <v>991</v>
      </c>
      <c r="BW62" s="1">
        <v>114</v>
      </c>
      <c r="BX62" s="22">
        <f>+ROUND(BV62*BO62/BQ62,0)</f>
        <v>737</v>
      </c>
      <c r="BY62" s="22">
        <f>+BV62-BX62</f>
        <v>254</v>
      </c>
      <c r="BZ62" s="22">
        <v>984</v>
      </c>
      <c r="CA62" s="22">
        <f>+CW62</f>
        <v>130.2617828804554</v>
      </c>
      <c r="CB62" s="22">
        <f>+ROUND(BZ62*BO62/BQ62,0)</f>
        <v>732</v>
      </c>
      <c r="CC62">
        <f>+BZ62-CB62</f>
        <v>252</v>
      </c>
      <c r="CD62" s="1"/>
      <c r="CE62">
        <v>343</v>
      </c>
      <c r="CG62">
        <v>153</v>
      </c>
      <c r="CH62">
        <f>+BS62</f>
        <v>80</v>
      </c>
      <c r="CI62">
        <v>190</v>
      </c>
      <c r="CJ62">
        <f>+BW62</f>
        <v>114</v>
      </c>
      <c r="CK62">
        <f>+BQ62+CE62+CF62</f>
        <v>2473</v>
      </c>
      <c r="CM62">
        <v>6</v>
      </c>
      <c r="CN62" s="4">
        <v>6176900</v>
      </c>
      <c r="CO62" s="4">
        <f>+N62</f>
        <v>1332639</v>
      </c>
      <c r="CP62" s="3">
        <f>+CM62*(CG62*CH62+CI62*CJ62)*0.3025</f>
        <v>61528.5</v>
      </c>
      <c r="CQ62" s="4">
        <f>+CN62-CO62-CP62</f>
        <v>4782732.5</v>
      </c>
      <c r="CR62" s="66">
        <f>+J62</f>
        <v>75</v>
      </c>
      <c r="CS62" s="66">
        <f>+L62</f>
        <v>58</v>
      </c>
      <c r="CT62" s="4">
        <f>+(CR62*BS62*BU62+CS62*BS62*BT62)*0.3025</f>
        <v>234014</v>
      </c>
      <c r="CU62" s="4">
        <f>+(CR62*BW62*BY62+CS62*BW62*BX62)*0.3025</f>
        <v>2131035.06</v>
      </c>
      <c r="CV62" s="4">
        <f>+CQ62-CT62-CU62</f>
        <v>2417683.44</v>
      </c>
      <c r="CW62">
        <f>+CV62/(CR62*CC62*0.3025+CS62*CB62*0.3025)</f>
        <v>130.2617828804554</v>
      </c>
      <c r="CY62" s="3">
        <f t="shared" si="84"/>
        <v>64981.969285874758</v>
      </c>
      <c r="CZ62" s="3">
        <f>+CR62*(BS62*BU62+BW62*BY62+CA62*CC62)*0.3025</f>
        <v>1474278.4281732836</v>
      </c>
      <c r="DA62" s="3">
        <f t="shared" si="85"/>
        <v>188569.62506849336</v>
      </c>
      <c r="DB62" s="3">
        <f>+CS62*(BS62*BT62+BW62*BX62+CA62*CB62)*0.3025</f>
        <v>3308454.0718267155</v>
      </c>
      <c r="DG62" s="79"/>
      <c r="DH62" s="122"/>
      <c r="DI62" s="122"/>
      <c r="DJ62" s="60"/>
      <c r="DK62" s="60"/>
      <c r="DL62" s="31"/>
    </row>
    <row r="63" spans="1:161" x14ac:dyDescent="0.55000000000000004">
      <c r="C63" s="31"/>
      <c r="D63" s="31"/>
      <c r="E63" s="126"/>
      <c r="F63" s="119"/>
      <c r="G63" s="37"/>
      <c r="H63" s="3"/>
      <c r="I63" s="4"/>
      <c r="K63" s="4"/>
      <c r="M63" s="4"/>
      <c r="N63" s="3"/>
      <c r="P63" s="3"/>
      <c r="Q63" s="3"/>
      <c r="R63" s="3"/>
      <c r="S63" s="12"/>
      <c r="T63" s="39"/>
      <c r="U63" s="10"/>
      <c r="V63" s="3"/>
      <c r="W63" s="3"/>
      <c r="X63" s="4"/>
      <c r="AA63" s="79"/>
      <c r="AB63" s="1"/>
      <c r="AC63" s="1"/>
      <c r="AD63" s="60"/>
      <c r="AE63" s="60"/>
      <c r="AF63" s="31"/>
      <c r="AH63" s="3"/>
      <c r="AI63" s="3">
        <f t="shared" si="43"/>
        <v>0</v>
      </c>
      <c r="AJ63" s="13"/>
      <c r="AO63" s="31"/>
      <c r="AS63" s="92"/>
      <c r="AT63" s="3">
        <f t="shared" si="12"/>
        <v>0</v>
      </c>
      <c r="AZ63" s="4"/>
      <c r="BB63" s="13"/>
      <c r="BF63" s="3"/>
      <c r="BG63" s="3"/>
      <c r="BH63" s="4"/>
      <c r="BI63" s="10"/>
      <c r="BJ63" s="38"/>
      <c r="BS63" s="1"/>
      <c r="BW63" s="1"/>
      <c r="BX63" s="22"/>
      <c r="BY63" s="22"/>
      <c r="BZ63" s="22"/>
      <c r="CA63" s="22"/>
      <c r="CB63" s="22"/>
      <c r="CD63" s="1"/>
      <c r="CN63" s="4"/>
      <c r="CO63" s="4"/>
      <c r="CP63" s="3"/>
      <c r="CQ63" s="4"/>
      <c r="CR63" s="66"/>
      <c r="CS63" s="66"/>
      <c r="CT63" s="4"/>
      <c r="CU63" s="4"/>
      <c r="CV63" s="4"/>
      <c r="CY63" s="3"/>
      <c r="CZ63" s="3"/>
      <c r="DA63" s="3"/>
      <c r="DB63" s="3"/>
      <c r="DG63" s="79"/>
      <c r="DH63" s="122"/>
      <c r="DI63" s="122"/>
      <c r="DJ63" s="60"/>
      <c r="DK63" s="60"/>
      <c r="DL63" s="31"/>
    </row>
    <row r="64" spans="1:161" x14ac:dyDescent="0.55000000000000004">
      <c r="A64" t="s">
        <v>795</v>
      </c>
      <c r="B64" t="s">
        <v>796</v>
      </c>
      <c r="C64" s="31">
        <v>45988</v>
      </c>
      <c r="D64" s="31" t="s">
        <v>797</v>
      </c>
      <c r="E64" s="130">
        <v>1455687.06</v>
      </c>
      <c r="F64" s="119" t="s">
        <v>798</v>
      </c>
      <c r="G64" s="37"/>
      <c r="H64" s="3">
        <f>+I64+K64+M64+N64</f>
        <v>17327100</v>
      </c>
      <c r="I64" s="4">
        <f>+J64*CY64*0.3025</f>
        <v>1223823.1961275989</v>
      </c>
      <c r="J64">
        <v>80</v>
      </c>
      <c r="K64" s="4">
        <f>+L64*DA64*0.3025</f>
        <v>14579061.143872401</v>
      </c>
      <c r="L64">
        <f>+J64*0.98</f>
        <v>78.400000000000006</v>
      </c>
      <c r="M64" s="4">
        <f>+CP64</f>
        <v>176715.66</v>
      </c>
      <c r="N64" s="3">
        <v>1347500</v>
      </c>
      <c r="P64" s="3">
        <f>+Q64+R64</f>
        <v>6463800</v>
      </c>
      <c r="Q64" s="3">
        <f>+T64*E64*0.3025</f>
        <v>4972153.846153846</v>
      </c>
      <c r="R64" s="3">
        <f>+Q64*S64</f>
        <v>1491646.1538461538</v>
      </c>
      <c r="S64" s="12">
        <f>+BI64</f>
        <v>0.3</v>
      </c>
      <c r="T64" s="39">
        <f>+BJ64</f>
        <v>11.291487484054711</v>
      </c>
      <c r="U64" s="10"/>
      <c r="V64" s="3">
        <v>11536300</v>
      </c>
      <c r="W64" s="3">
        <f>2674*2400+1750*2700</f>
        <v>11142600</v>
      </c>
      <c r="X64" s="4">
        <f>+V64-W64</f>
        <v>393700</v>
      </c>
      <c r="Z64">
        <v>1</v>
      </c>
      <c r="AA64" s="79"/>
      <c r="AB64" s="1" t="s">
        <v>785</v>
      </c>
      <c r="AC64" s="1">
        <v>2400</v>
      </c>
      <c r="AD64" s="60">
        <v>3483</v>
      </c>
      <c r="AE64" s="60">
        <v>101</v>
      </c>
      <c r="AF64" s="31">
        <v>46160</v>
      </c>
      <c r="AH64" s="3">
        <f>+AR64*L64*0.3025</f>
        <v>2703.6240000000003</v>
      </c>
      <c r="AI64" s="3">
        <f t="shared" si="43"/>
        <v>2758.7999999999997</v>
      </c>
      <c r="AJ64" s="13">
        <f>+(H64-P64)/V64</f>
        <v>0.94166240475715779</v>
      </c>
      <c r="AL64" t="s">
        <v>792</v>
      </c>
      <c r="AM64" t="s">
        <v>800</v>
      </c>
      <c r="AN64">
        <v>4500</v>
      </c>
      <c r="AO64" s="31">
        <v>46162</v>
      </c>
      <c r="AP64">
        <v>108</v>
      </c>
      <c r="AQ64">
        <f>+AN64/(AP64*0.3025)</f>
        <v>137.74104683195591</v>
      </c>
      <c r="AR64">
        <v>114</v>
      </c>
      <c r="AS64" s="92">
        <v>0.1</v>
      </c>
      <c r="AT64" s="3">
        <f t="shared" si="12"/>
        <v>5225</v>
      </c>
      <c r="AU64">
        <f>+AD64+AZ64</f>
        <v>3926.6342285828214</v>
      </c>
      <c r="AV64">
        <f>+AT64-AU64</f>
        <v>1298.3657714171786</v>
      </c>
      <c r="AZ64" s="4">
        <f>+AH64-(AC64*AJ64)</f>
        <v>443.63422858282138</v>
      </c>
      <c r="BB64" s="13">
        <f t="shared" ref="BB64" si="86">+AV64/AU64</f>
        <v>0.33065615380370622</v>
      </c>
      <c r="BF64" s="3">
        <v>6463800</v>
      </c>
      <c r="BG64" s="3">
        <f>+BF64/(1+BI64)</f>
        <v>4972153.846153846</v>
      </c>
      <c r="BH64" s="4">
        <f>+BF64-BG64</f>
        <v>1491646.153846154</v>
      </c>
      <c r="BI64" s="10">
        <v>0.3</v>
      </c>
      <c r="BJ64" s="38">
        <f>+BG64/(E64*0.3025)</f>
        <v>11.291487484054711</v>
      </c>
      <c r="BO64">
        <f>2674+1750</f>
        <v>4424</v>
      </c>
      <c r="BP64">
        <f>+BQ64-BO64</f>
        <v>365</v>
      </c>
      <c r="BQ64">
        <v>4789</v>
      </c>
      <c r="BR64">
        <v>278</v>
      </c>
      <c r="BS64" s="1">
        <v>80</v>
      </c>
      <c r="BT64">
        <f>+ROUND(BR64*BO64/BQ64,0)</f>
        <v>257</v>
      </c>
      <c r="BU64">
        <f>+BR64-BT64</f>
        <v>21</v>
      </c>
      <c r="BV64">
        <v>2603</v>
      </c>
      <c r="BW64" s="1">
        <v>114</v>
      </c>
      <c r="BX64" s="22">
        <f>+ROUND(BV64*BO64/BQ64,0)</f>
        <v>2405</v>
      </c>
      <c r="BY64" s="22">
        <f>+BV64-BX64</f>
        <v>198</v>
      </c>
      <c r="BZ64" s="22">
        <v>1908</v>
      </c>
      <c r="CA64" s="22">
        <f>+CW64</f>
        <v>181.51176863140466</v>
      </c>
      <c r="CB64" s="22">
        <f>+ROUND(BZ64*BO64/BQ64,0)</f>
        <v>1763</v>
      </c>
      <c r="CC64">
        <f>+BZ64-CB64</f>
        <v>145</v>
      </c>
      <c r="CD64" s="1"/>
      <c r="CE64">
        <v>1104</v>
      </c>
      <c r="CG64">
        <v>838</v>
      </c>
      <c r="CH64">
        <f>+BS64</f>
        <v>80</v>
      </c>
      <c r="CI64">
        <v>266</v>
      </c>
      <c r="CJ64">
        <f>+BW64</f>
        <v>114</v>
      </c>
      <c r="CK64">
        <f>+BQ64+CE64+CF64</f>
        <v>5893</v>
      </c>
      <c r="CM64">
        <v>6</v>
      </c>
      <c r="CN64" s="4">
        <v>17327100</v>
      </c>
      <c r="CO64" s="4">
        <f>+N64</f>
        <v>1347500</v>
      </c>
      <c r="CP64" s="3">
        <f>+CM64*(CG64*CH64+CI64*CJ64)*0.3025</f>
        <v>176715.66</v>
      </c>
      <c r="CQ64" s="4">
        <f>+CN64-CO64-CP64</f>
        <v>15802884.34</v>
      </c>
      <c r="CR64" s="66">
        <f>+J64</f>
        <v>80</v>
      </c>
      <c r="CS64" s="66">
        <f>+L64</f>
        <v>78.400000000000006</v>
      </c>
      <c r="CT64" s="4">
        <f>+(CR64*BS64*BU64+CS64*BS64*BT64)*0.3025</f>
        <v>528256.96</v>
      </c>
      <c r="CU64" s="4">
        <f>+(CR64*BW64*BY64+CS64*BW64*BX64)*0.3025</f>
        <v>7048458.1200000001</v>
      </c>
      <c r="CV64" s="4">
        <f>+CQ64-CT64-CU64</f>
        <v>8226169.2599999988</v>
      </c>
      <c r="CW64">
        <f>+CV64/(CR64*CC64*0.3025+CS64*CB64*0.3025)</f>
        <v>181.51176863140466</v>
      </c>
      <c r="CY64" s="3">
        <f t="shared" ref="CY64" si="87">+(BS64*BU64+BW64*BY64+CA64*CC64)</f>
        <v>50571.206451553677</v>
      </c>
      <c r="CZ64" s="3">
        <f>+CR64*(BS64*BU64+BW64*BY64+CA64*CC64)*0.3025</f>
        <v>1223823.1961275989</v>
      </c>
      <c r="DA64" s="3">
        <f t="shared" ref="DA64" si="88">+(BS64*BT64+BW64*BX64+CA64*CB64)</f>
        <v>614735.24809716642</v>
      </c>
      <c r="DB64" s="3">
        <f>+CS64*(BS64*BT64+BW64*BX64+CA64*CB64)*0.3025</f>
        <v>14579061.143872401</v>
      </c>
      <c r="DG64" s="79"/>
      <c r="DH64" s="122"/>
      <c r="DI64" s="122"/>
      <c r="DJ64" s="60"/>
      <c r="DK64" s="60"/>
      <c r="DL64" s="31"/>
    </row>
    <row r="65" spans="1:116" x14ac:dyDescent="0.55000000000000004">
      <c r="A65" t="s">
        <v>795</v>
      </c>
      <c r="B65" t="s">
        <v>796</v>
      </c>
      <c r="C65" s="31">
        <v>45988</v>
      </c>
      <c r="D65" s="31" t="s">
        <v>797</v>
      </c>
      <c r="E65" s="130">
        <v>1455687.06</v>
      </c>
      <c r="F65" s="119" t="s">
        <v>798</v>
      </c>
      <c r="G65" s="37"/>
      <c r="H65" s="3">
        <f>+I65+K65+M65+N65</f>
        <v>17327100</v>
      </c>
      <c r="I65" s="4">
        <f>+J65*CY65*0.3025</f>
        <v>1223823.1961275989</v>
      </c>
      <c r="J65">
        <v>80</v>
      </c>
      <c r="K65" s="4">
        <f>+L65*DA65*0.3025</f>
        <v>14579061.143872401</v>
      </c>
      <c r="L65">
        <f>+J65*0.98</f>
        <v>78.400000000000006</v>
      </c>
      <c r="M65" s="4">
        <f>+CP65</f>
        <v>176715.66</v>
      </c>
      <c r="N65" s="3">
        <v>1347500</v>
      </c>
      <c r="P65" s="3">
        <f>+Q65+R65</f>
        <v>6463800</v>
      </c>
      <c r="Q65" s="3">
        <f>+T65*E65*0.3025</f>
        <v>4972153.846153846</v>
      </c>
      <c r="R65" s="3">
        <f>+Q65*S65</f>
        <v>1491646.1538461538</v>
      </c>
      <c r="S65" s="12">
        <f>+BI65</f>
        <v>0.3</v>
      </c>
      <c r="T65" s="39">
        <f>+BJ65</f>
        <v>11.291487484054711</v>
      </c>
      <c r="U65" s="10"/>
      <c r="V65" s="3">
        <v>11536300</v>
      </c>
      <c r="W65" s="3">
        <f>2674*2400+1750*2700</f>
        <v>11142600</v>
      </c>
      <c r="X65" s="4">
        <f>+V65-W65</f>
        <v>393700</v>
      </c>
      <c r="Z65">
        <v>2</v>
      </c>
      <c r="AA65" s="79"/>
      <c r="AB65" s="1" t="s">
        <v>799</v>
      </c>
      <c r="AC65" s="1">
        <v>2700</v>
      </c>
      <c r="AD65" s="60">
        <v>3867</v>
      </c>
      <c r="AE65" s="60">
        <v>115</v>
      </c>
      <c r="AF65" s="31">
        <v>46160</v>
      </c>
      <c r="AH65" s="3">
        <f>+AR65*L65*0.3025</f>
        <v>2703.6240000000003</v>
      </c>
      <c r="AI65" s="3">
        <f t="shared" si="43"/>
        <v>2758.7999999999997</v>
      </c>
      <c r="AJ65" s="13">
        <f>+(H65-P65)/V65</f>
        <v>0.94166240475715779</v>
      </c>
      <c r="AL65" t="s">
        <v>792</v>
      </c>
      <c r="AM65" t="s">
        <v>800</v>
      </c>
      <c r="AN65">
        <v>4500</v>
      </c>
      <c r="AO65" s="31">
        <v>46162</v>
      </c>
      <c r="AP65">
        <v>108</v>
      </c>
      <c r="AQ65">
        <f>+AN65/(AP65*0.3025)</f>
        <v>137.74104683195591</v>
      </c>
      <c r="AR65">
        <v>114</v>
      </c>
      <c r="AS65" s="92">
        <v>0.1</v>
      </c>
      <c r="AT65" s="3">
        <f t="shared" si="12"/>
        <v>5225</v>
      </c>
      <c r="AU65">
        <f>+AD65+AZ65</f>
        <v>4028.1355071556741</v>
      </c>
      <c r="AV65">
        <f>+AT65-AU65</f>
        <v>1196.8644928443259</v>
      </c>
      <c r="AZ65" s="4">
        <f>+AH65-(AC65*AJ65)</f>
        <v>161.13550715567408</v>
      </c>
      <c r="BB65" s="13">
        <f t="shared" ref="BB65" si="89">+AV65/AU65</f>
        <v>0.29712617431022065</v>
      </c>
      <c r="BF65" s="3">
        <v>6463800</v>
      </c>
      <c r="BG65" s="3">
        <f>+BF65/(1+BI65)</f>
        <v>4972153.846153846</v>
      </c>
      <c r="BH65" s="4">
        <f>+BF65-BG65</f>
        <v>1491646.153846154</v>
      </c>
      <c r="BI65" s="10">
        <v>0.3</v>
      </c>
      <c r="BJ65" s="38">
        <f>+BG65/(E65*0.3025)</f>
        <v>11.291487484054711</v>
      </c>
      <c r="BO65">
        <f>2674+1750</f>
        <v>4424</v>
      </c>
      <c r="BP65">
        <f>+BQ65-BO65</f>
        <v>365</v>
      </c>
      <c r="BQ65">
        <v>4789</v>
      </c>
      <c r="BR65">
        <v>278</v>
      </c>
      <c r="BS65" s="1">
        <v>80</v>
      </c>
      <c r="BT65">
        <f>+ROUND(BR65*BO65/BQ65,0)</f>
        <v>257</v>
      </c>
      <c r="BU65">
        <f>+BR65-BT65</f>
        <v>21</v>
      </c>
      <c r="BV65">
        <v>2603</v>
      </c>
      <c r="BW65" s="1">
        <v>114</v>
      </c>
      <c r="BX65" s="22">
        <f>+ROUND(BV65*BO65/BQ65,0)</f>
        <v>2405</v>
      </c>
      <c r="BY65" s="22">
        <f>+BV65-BX65</f>
        <v>198</v>
      </c>
      <c r="BZ65" s="22">
        <v>1908</v>
      </c>
      <c r="CA65" s="22">
        <f>+CW65</f>
        <v>181.51176863140466</v>
      </c>
      <c r="CB65" s="22">
        <f>+ROUND(BZ65*BO65/BQ65,0)</f>
        <v>1763</v>
      </c>
      <c r="CC65">
        <f>+BZ65-CB65</f>
        <v>145</v>
      </c>
      <c r="CD65" s="1"/>
      <c r="CE65">
        <v>1104</v>
      </c>
      <c r="CG65">
        <v>838</v>
      </c>
      <c r="CH65">
        <f>+BS65</f>
        <v>80</v>
      </c>
      <c r="CI65">
        <v>266</v>
      </c>
      <c r="CJ65">
        <f>+BW65</f>
        <v>114</v>
      </c>
      <c r="CK65">
        <f>+BQ65+CE65+CF65</f>
        <v>5893</v>
      </c>
      <c r="CM65">
        <v>6</v>
      </c>
      <c r="CN65" s="4">
        <v>17327100</v>
      </c>
      <c r="CO65" s="4">
        <f>+N65</f>
        <v>1347500</v>
      </c>
      <c r="CP65" s="3">
        <f>+CM65*(CG65*CH65+CI65*CJ65)*0.3025</f>
        <v>176715.66</v>
      </c>
      <c r="CQ65" s="4">
        <f>+CN65-CO65-CP65</f>
        <v>15802884.34</v>
      </c>
      <c r="CR65" s="66">
        <f>+J65</f>
        <v>80</v>
      </c>
      <c r="CS65" s="66">
        <f>+L65</f>
        <v>78.400000000000006</v>
      </c>
      <c r="CT65" s="4">
        <f>+(CR65*BS65*BU65+CS65*BS65*BT65)*0.3025</f>
        <v>528256.96</v>
      </c>
      <c r="CU65" s="4">
        <f>+(CR65*BW65*BY65+CS65*BW65*BX65)*0.3025</f>
        <v>7048458.1200000001</v>
      </c>
      <c r="CV65" s="4">
        <f>+CQ65-CT65-CU65</f>
        <v>8226169.2599999988</v>
      </c>
      <c r="CW65">
        <f>+CV65/(CR65*CC65*0.3025+CS65*CB65*0.3025)</f>
        <v>181.51176863140466</v>
      </c>
      <c r="CY65" s="3">
        <f t="shared" ref="CY65" si="90">+(BS65*BU65+BW65*BY65+CA65*CC65)</f>
        <v>50571.206451553677</v>
      </c>
      <c r="CZ65" s="3">
        <f>+CR65*(BS65*BU65+BW65*BY65+CA65*CC65)*0.3025</f>
        <v>1223823.1961275989</v>
      </c>
      <c r="DA65" s="3">
        <f t="shared" ref="DA65" si="91">+(BS65*BT65+BW65*BX65+CA65*CB65)</f>
        <v>614735.24809716642</v>
      </c>
      <c r="DB65" s="3">
        <f>+CS65*(BS65*BT65+BW65*BX65+CA65*CB65)*0.3025</f>
        <v>14579061.143872401</v>
      </c>
      <c r="DG65" s="79"/>
      <c r="DH65" s="122"/>
      <c r="DI65" s="122"/>
      <c r="DJ65" s="60"/>
      <c r="DK65" s="60"/>
      <c r="DL65" s="31"/>
    </row>
    <row r="66" spans="1:116" x14ac:dyDescent="0.55000000000000004">
      <c r="C66" s="31"/>
      <c r="D66" s="31"/>
      <c r="E66" s="126"/>
      <c r="F66" s="119"/>
      <c r="G66" s="37"/>
      <c r="H66" s="3"/>
      <c r="I66" s="4"/>
      <c r="K66" s="4"/>
      <c r="M66" s="4"/>
      <c r="N66" s="3"/>
      <c r="P66" s="3"/>
      <c r="Q66" s="3"/>
      <c r="R66" s="4"/>
      <c r="S66" s="120"/>
      <c r="T66" s="121"/>
      <c r="U66" s="10"/>
      <c r="V66" s="3"/>
      <c r="W66" s="3"/>
      <c r="X66" s="4"/>
      <c r="AA66" s="79"/>
      <c r="AB66" s="1"/>
      <c r="AC66" s="1"/>
      <c r="AD66" s="60"/>
      <c r="AE66" s="60"/>
      <c r="AF66" s="31"/>
      <c r="AJ66" s="13"/>
      <c r="AO66" s="31"/>
      <c r="AZ66" s="4"/>
      <c r="BB66" s="13"/>
      <c r="BF66" s="3"/>
      <c r="BG66" s="3"/>
      <c r="BH66" s="4"/>
      <c r="BI66" s="10"/>
      <c r="BJ66" s="38"/>
      <c r="BS66" s="1"/>
      <c r="BW66" s="22"/>
      <c r="BX66" s="22"/>
      <c r="BY66" s="22"/>
      <c r="BZ66" s="22"/>
      <c r="CA66" s="22"/>
      <c r="CB66" s="22"/>
      <c r="CD66" s="1"/>
      <c r="CN66" s="4"/>
      <c r="CO66" s="4"/>
      <c r="CP66" s="3"/>
      <c r="CQ66" s="4"/>
      <c r="CR66" s="66"/>
      <c r="CS66" s="66"/>
      <c r="CT66" s="4"/>
      <c r="CU66" s="4"/>
      <c r="CV66" s="4"/>
      <c r="CZ66" s="3"/>
      <c r="DA66" s="3"/>
      <c r="DB66" s="3"/>
      <c r="DG66" s="79"/>
      <c r="DH66" s="122"/>
      <c r="DI66" s="122"/>
      <c r="DJ66" s="60"/>
      <c r="DK66" s="60"/>
      <c r="DL66" s="31"/>
    </row>
    <row r="67" spans="1:116" x14ac:dyDescent="0.55000000000000004">
      <c r="C67" s="31"/>
      <c r="D67" s="31"/>
      <c r="E67" s="126"/>
      <c r="F67" s="119"/>
      <c r="G67" s="37"/>
      <c r="H67" s="3"/>
      <c r="I67" s="4"/>
      <c r="K67" s="4"/>
      <c r="M67" s="4"/>
      <c r="N67" s="3"/>
      <c r="P67" s="3"/>
      <c r="Q67" s="3"/>
      <c r="R67" s="4"/>
      <c r="S67" s="120"/>
      <c r="T67" s="121"/>
      <c r="U67" s="10"/>
      <c r="V67" s="3"/>
      <c r="W67" s="3"/>
      <c r="X67" s="4"/>
      <c r="AA67" s="79"/>
      <c r="AB67" s="1"/>
      <c r="AC67" s="1"/>
      <c r="AD67" s="60"/>
      <c r="AE67" s="60"/>
      <c r="AF67" s="31"/>
      <c r="AJ67" s="13"/>
      <c r="AO67" s="31"/>
      <c r="AZ67" s="4"/>
      <c r="BB67" s="13"/>
      <c r="BF67" s="3"/>
      <c r="BG67" s="3"/>
      <c r="BH67" s="4"/>
      <c r="BI67" s="10"/>
      <c r="BJ67" s="38"/>
      <c r="BS67" s="1"/>
      <c r="BW67" s="22"/>
      <c r="BX67" s="22"/>
      <c r="BY67" s="22"/>
      <c r="BZ67" s="22"/>
      <c r="CA67" s="22"/>
      <c r="CB67" s="22"/>
      <c r="CD67" s="1"/>
      <c r="CN67" s="4"/>
      <c r="CO67" s="4"/>
      <c r="CP67" s="3"/>
      <c r="CQ67" s="4"/>
      <c r="CR67" s="66"/>
      <c r="CS67" s="66"/>
      <c r="CT67" s="4"/>
      <c r="CU67" s="4"/>
      <c r="CV67" s="4"/>
      <c r="CZ67" s="3"/>
      <c r="DA67" s="3"/>
      <c r="DB67" s="3"/>
      <c r="DG67" s="79"/>
      <c r="DH67" s="122"/>
      <c r="DI67" s="122"/>
      <c r="DJ67" s="60"/>
      <c r="DK67" s="60"/>
      <c r="DL67" s="31"/>
    </row>
    <row r="68" spans="1:116" x14ac:dyDescent="0.55000000000000004">
      <c r="C68" s="31"/>
      <c r="D68" s="31"/>
      <c r="E68" s="126"/>
      <c r="F68" s="119"/>
      <c r="G68" s="37"/>
      <c r="H68" s="3"/>
      <c r="I68" s="4"/>
      <c r="K68" s="4"/>
      <c r="M68" s="4"/>
      <c r="N68" s="3"/>
      <c r="P68" s="3"/>
      <c r="Q68" s="3"/>
      <c r="R68" s="4"/>
      <c r="S68" s="120"/>
      <c r="T68" s="121"/>
      <c r="U68" s="10"/>
      <c r="V68" s="3"/>
      <c r="W68" s="3"/>
      <c r="X68" s="4"/>
      <c r="AA68" s="79"/>
      <c r="AB68" s="1"/>
      <c r="AC68" s="1"/>
      <c r="AD68" s="60"/>
      <c r="AE68" s="60"/>
      <c r="AF68" s="31"/>
      <c r="AJ68" s="13"/>
      <c r="AO68" s="31"/>
      <c r="AZ68" s="4"/>
      <c r="BB68" s="13"/>
      <c r="BF68" s="3"/>
      <c r="BG68" s="3"/>
      <c r="BH68" s="4"/>
      <c r="BI68" s="10"/>
      <c r="BJ68" s="38"/>
      <c r="BS68" s="1"/>
      <c r="BW68" s="22"/>
      <c r="BX68" s="22"/>
      <c r="BY68" s="22"/>
      <c r="BZ68" s="22"/>
      <c r="CA68" s="22"/>
      <c r="CB68" s="22"/>
      <c r="CD68" s="1"/>
      <c r="CN68" s="4"/>
      <c r="CO68" s="4"/>
      <c r="CP68" s="3"/>
      <c r="CQ68" s="4"/>
      <c r="CR68" s="66"/>
      <c r="CS68" s="66"/>
      <c r="CT68" s="4"/>
      <c r="CU68" s="4"/>
      <c r="CV68" s="4"/>
      <c r="CZ68" s="3"/>
      <c r="DA68" s="3"/>
      <c r="DB68" s="3"/>
      <c r="DG68" s="79"/>
      <c r="DH68" s="122"/>
      <c r="DI68" s="122"/>
      <c r="DJ68" s="60"/>
      <c r="DK68" s="60"/>
      <c r="DL68" s="31"/>
    </row>
    <row r="69" spans="1:116" x14ac:dyDescent="0.55000000000000004">
      <c r="C69" s="31"/>
      <c r="D69" s="31"/>
      <c r="E69" s="126"/>
      <c r="F69" s="119"/>
      <c r="G69" s="37"/>
      <c r="H69" s="3"/>
      <c r="I69" s="4"/>
      <c r="K69" s="4"/>
      <c r="M69" s="4"/>
      <c r="N69" s="3"/>
      <c r="P69" s="3"/>
      <c r="Q69" s="3"/>
      <c r="R69" s="4"/>
      <c r="S69" s="120"/>
      <c r="T69" s="121"/>
      <c r="U69" s="121"/>
      <c r="W69" s="3"/>
      <c r="X69" s="4"/>
      <c r="AA69" s="79"/>
      <c r="AB69" s="34"/>
      <c r="AC69" s="127"/>
      <c r="AD69" s="60"/>
      <c r="AE69" s="60"/>
      <c r="AF69" s="31"/>
      <c r="AJ69" s="13"/>
      <c r="AO69" s="31"/>
      <c r="AZ69" s="4"/>
      <c r="BB69" s="13"/>
      <c r="BF69" s="3"/>
      <c r="BG69" s="3"/>
      <c r="BH69" s="4"/>
      <c r="BI69" s="10"/>
      <c r="BJ69" s="38"/>
      <c r="BS69" s="1"/>
      <c r="BW69" s="22"/>
      <c r="BX69" s="22"/>
      <c r="BY69" s="22"/>
      <c r="BZ69" s="22"/>
      <c r="CA69" s="22"/>
      <c r="CB69" s="22"/>
      <c r="CD69" s="1"/>
      <c r="CN69" s="4"/>
      <c r="CO69" s="4"/>
      <c r="CP69" s="3"/>
      <c r="CQ69" s="4"/>
      <c r="CR69" s="66"/>
      <c r="CS69" s="66"/>
      <c r="CT69" s="4"/>
      <c r="CU69" s="4"/>
      <c r="CV69" s="4"/>
      <c r="CZ69" s="3"/>
      <c r="DA69" s="3"/>
      <c r="DB69" s="3"/>
      <c r="DG69" s="79"/>
      <c r="DH69" s="122"/>
      <c r="DI69" s="122"/>
      <c r="DJ69" s="60"/>
      <c r="DK69" s="60"/>
      <c r="DL69" s="31"/>
    </row>
    <row r="70" spans="1:116" x14ac:dyDescent="0.55000000000000004">
      <c r="AA70" s="79"/>
      <c r="AB70" s="34"/>
      <c r="AC70" s="127"/>
    </row>
    <row r="71" spans="1:116" x14ac:dyDescent="0.55000000000000004">
      <c r="AA71" s="79"/>
      <c r="AB71" s="34"/>
      <c r="AC71" s="127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0C89-4972-4072-B860-EB2B67D3F750}">
  <dimension ref="A1:ME13"/>
  <sheetViews>
    <sheetView workbookViewId="0"/>
  </sheetViews>
  <sheetFormatPr defaultRowHeight="17.600000000000001" x14ac:dyDescent="0.55000000000000004"/>
  <cols>
    <col min="3" max="3" width="10.78515625" bestFit="1" customWidth="1"/>
    <col min="4" max="4" width="18.140625" customWidth="1"/>
    <col min="5" max="6" width="11.28515625" bestFit="1" customWidth="1"/>
    <col min="7" max="7" width="11.5" customWidth="1"/>
    <col min="8" max="8" width="11.92578125" customWidth="1"/>
    <col min="9" max="9" width="11.7109375" bestFit="1" customWidth="1"/>
    <col min="10" max="10" width="10.42578125" customWidth="1"/>
    <col min="11" max="11" width="14" customWidth="1"/>
    <col min="12" max="12" width="12.42578125" customWidth="1"/>
    <col min="13" max="13" width="15.42578125" bestFit="1" customWidth="1"/>
    <col min="14" max="14" width="13.35546875" bestFit="1" customWidth="1"/>
    <col min="17" max="17" width="10.640625" bestFit="1" customWidth="1"/>
    <col min="18" max="18" width="10.640625" customWidth="1"/>
    <col min="21" max="21" width="10.640625" bestFit="1" customWidth="1"/>
    <col min="51" max="51" width="11.78515625" bestFit="1" customWidth="1"/>
    <col min="77" max="77" width="10.640625" bestFit="1" customWidth="1"/>
    <col min="78" max="78" width="11.7109375" bestFit="1" customWidth="1"/>
    <col min="213" max="213" width="11.7109375" bestFit="1" customWidth="1"/>
    <col min="214" max="214" width="10.640625" bestFit="1" customWidth="1"/>
    <col min="215" max="215" width="11.7109375" bestFit="1" customWidth="1"/>
    <col min="227" max="227" width="11.640625" customWidth="1"/>
    <col min="232" max="232" width="9.140625" customWidth="1"/>
    <col min="278" max="278" width="11.0703125" bestFit="1" customWidth="1"/>
  </cols>
  <sheetData>
    <row r="1" spans="1:343" x14ac:dyDescent="0.55000000000000004">
      <c r="G1" t="s">
        <v>18</v>
      </c>
      <c r="S1" s="14" t="s">
        <v>505</v>
      </c>
      <c r="W1" t="s">
        <v>31</v>
      </c>
      <c r="AX1" s="14" t="s">
        <v>505</v>
      </c>
      <c r="AZ1" t="s">
        <v>32</v>
      </c>
      <c r="BI1" s="14" t="s">
        <v>505</v>
      </c>
      <c r="BK1" t="s">
        <v>33</v>
      </c>
      <c r="BY1" t="s">
        <v>47</v>
      </c>
      <c r="CB1" t="s">
        <v>34</v>
      </c>
      <c r="CG1" s="15" t="s">
        <v>506</v>
      </c>
      <c r="CM1" s="15" t="s">
        <v>506</v>
      </c>
      <c r="CS1" s="15" t="s">
        <v>506</v>
      </c>
      <c r="CY1" s="15" t="s">
        <v>506</v>
      </c>
      <c r="DE1" s="15" t="s">
        <v>506</v>
      </c>
      <c r="DK1" s="15" t="s">
        <v>506</v>
      </c>
      <c r="DQ1" s="15" t="s">
        <v>506</v>
      </c>
      <c r="DW1" s="15" t="s">
        <v>506</v>
      </c>
      <c r="EC1" s="15" t="s">
        <v>506</v>
      </c>
      <c r="EI1" s="15" t="s">
        <v>506</v>
      </c>
      <c r="EO1" s="15" t="s">
        <v>506</v>
      </c>
      <c r="EU1" s="15" t="s">
        <v>506</v>
      </c>
      <c r="FA1" s="15" t="s">
        <v>506</v>
      </c>
      <c r="FG1" s="15" t="s">
        <v>506</v>
      </c>
      <c r="FM1" s="15" t="s">
        <v>506</v>
      </c>
      <c r="FS1" s="15" t="s">
        <v>506</v>
      </c>
      <c r="FY1" s="15" t="s">
        <v>506</v>
      </c>
      <c r="GE1" s="15" t="s">
        <v>506</v>
      </c>
      <c r="GK1" s="15" t="s">
        <v>506</v>
      </c>
      <c r="GQ1" s="15" t="s">
        <v>506</v>
      </c>
      <c r="GW1" s="15" t="s">
        <v>506</v>
      </c>
      <c r="HC1" s="15" t="s">
        <v>506</v>
      </c>
      <c r="HJ1" t="s">
        <v>416</v>
      </c>
      <c r="HL1" s="15" t="s">
        <v>506</v>
      </c>
      <c r="HS1" s="60" t="s">
        <v>415</v>
      </c>
      <c r="HX1" s="1"/>
      <c r="JN1" s="76" t="s">
        <v>504</v>
      </c>
      <c r="JO1" s="60"/>
      <c r="ME1" s="1" t="s">
        <v>574</v>
      </c>
    </row>
    <row r="2" spans="1:343" s="66" customFormat="1" ht="70.3" x14ac:dyDescent="0.55000000000000004">
      <c r="A2" s="63" t="s">
        <v>0</v>
      </c>
      <c r="B2" s="63" t="s">
        <v>2</v>
      </c>
      <c r="C2" s="63" t="s">
        <v>327</v>
      </c>
      <c r="D2" s="63" t="s">
        <v>328</v>
      </c>
      <c r="E2" s="63"/>
      <c r="F2" s="63"/>
      <c r="G2" s="63" t="s">
        <v>6</v>
      </c>
      <c r="H2" s="63" t="s">
        <v>4</v>
      </c>
      <c r="I2" s="63" t="s">
        <v>9</v>
      </c>
      <c r="J2" s="63" t="s">
        <v>7</v>
      </c>
      <c r="K2" s="63" t="s">
        <v>5</v>
      </c>
      <c r="L2" s="63" t="s">
        <v>10</v>
      </c>
      <c r="M2" s="63" t="s">
        <v>11</v>
      </c>
      <c r="N2" s="63" t="s">
        <v>14</v>
      </c>
      <c r="O2" s="63" t="s">
        <v>15</v>
      </c>
      <c r="P2" s="63" t="s">
        <v>12</v>
      </c>
      <c r="Q2" s="63" t="s">
        <v>16</v>
      </c>
      <c r="R2" s="63" t="s">
        <v>609</v>
      </c>
      <c r="S2" s="63" t="s">
        <v>156</v>
      </c>
      <c r="T2" s="63" t="s">
        <v>157</v>
      </c>
      <c r="U2" s="63" t="s">
        <v>158</v>
      </c>
      <c r="V2" s="64" t="s">
        <v>17</v>
      </c>
      <c r="W2" s="63" t="s">
        <v>20</v>
      </c>
      <c r="X2" s="63" t="s">
        <v>23</v>
      </c>
      <c r="Y2" s="63" t="s">
        <v>19</v>
      </c>
      <c r="Z2" s="63" t="s">
        <v>22</v>
      </c>
      <c r="AA2" s="63" t="s">
        <v>24</v>
      </c>
      <c r="AB2" s="63" t="s">
        <v>21</v>
      </c>
      <c r="AC2" s="63" t="s">
        <v>26</v>
      </c>
      <c r="AD2" s="63" t="s">
        <v>27</v>
      </c>
      <c r="AE2" s="63" t="s">
        <v>25</v>
      </c>
      <c r="AF2" s="65" t="s">
        <v>436</v>
      </c>
      <c r="AG2" s="65" t="s">
        <v>437</v>
      </c>
      <c r="AH2" s="65" t="s">
        <v>438</v>
      </c>
      <c r="AI2" s="65" t="s">
        <v>439</v>
      </c>
      <c r="AJ2" s="65" t="s">
        <v>440</v>
      </c>
      <c r="AK2" s="65" t="s">
        <v>441</v>
      </c>
      <c r="AL2" s="65" t="s">
        <v>442</v>
      </c>
      <c r="AM2" s="65" t="s">
        <v>443</v>
      </c>
      <c r="AN2" s="65" t="s">
        <v>444</v>
      </c>
      <c r="AO2" s="65" t="s">
        <v>445</v>
      </c>
      <c r="AP2" s="65" t="s">
        <v>446</v>
      </c>
      <c r="AQ2" s="65" t="s">
        <v>447</v>
      </c>
      <c r="AR2" s="65" t="s">
        <v>448</v>
      </c>
      <c r="AS2" s="65" t="s">
        <v>449</v>
      </c>
      <c r="AT2" s="65" t="s">
        <v>450</v>
      </c>
      <c r="AU2" s="65" t="s">
        <v>451</v>
      </c>
      <c r="AV2" s="65" t="s">
        <v>452</v>
      </c>
      <c r="AW2" s="65" t="s">
        <v>453</v>
      </c>
      <c r="AX2" s="63" t="s">
        <v>40</v>
      </c>
      <c r="AY2" s="63" t="s">
        <v>44</v>
      </c>
      <c r="AZ2" s="63" t="s">
        <v>418</v>
      </c>
      <c r="BA2" s="63" t="s">
        <v>419</v>
      </c>
      <c r="BB2" s="63" t="s">
        <v>28</v>
      </c>
      <c r="BC2" s="63" t="s">
        <v>420</v>
      </c>
      <c r="BD2" s="63" t="s">
        <v>421</v>
      </c>
      <c r="BE2" s="63" t="s">
        <v>422</v>
      </c>
      <c r="BF2" s="63" t="s">
        <v>423</v>
      </c>
      <c r="BG2" s="63" t="s">
        <v>424</v>
      </c>
      <c r="BH2" s="63" t="s">
        <v>425</v>
      </c>
      <c r="BI2" s="63" t="s">
        <v>41</v>
      </c>
      <c r="BJ2" s="63" t="s">
        <v>45</v>
      </c>
      <c r="BK2" s="63" t="s">
        <v>426</v>
      </c>
      <c r="BL2" s="63" t="s">
        <v>427</v>
      </c>
      <c r="BM2" s="63" t="s">
        <v>428</v>
      </c>
      <c r="BN2" s="63" t="s">
        <v>429</v>
      </c>
      <c r="BO2" s="63" t="s">
        <v>430</v>
      </c>
      <c r="BP2" s="63" t="s">
        <v>431</v>
      </c>
      <c r="BQ2" s="63" t="s">
        <v>432</v>
      </c>
      <c r="BR2" s="63" t="s">
        <v>433</v>
      </c>
      <c r="BS2" s="63" t="s">
        <v>434</v>
      </c>
      <c r="BT2" s="63" t="s">
        <v>454</v>
      </c>
      <c r="BU2" s="63" t="s">
        <v>455</v>
      </c>
      <c r="BV2" s="63" t="s">
        <v>456</v>
      </c>
      <c r="BW2" s="63" t="s">
        <v>42</v>
      </c>
      <c r="BX2" s="63" t="s">
        <v>46</v>
      </c>
      <c r="BY2" s="63" t="s">
        <v>47</v>
      </c>
      <c r="BZ2" s="63" t="s">
        <v>48</v>
      </c>
      <c r="CA2" s="64" t="s">
        <v>29</v>
      </c>
      <c r="CB2" s="63" t="s">
        <v>49</v>
      </c>
      <c r="CC2" s="63" t="s">
        <v>50</v>
      </c>
      <c r="CD2" s="65" t="s">
        <v>301</v>
      </c>
      <c r="CE2" s="63" t="s">
        <v>51</v>
      </c>
      <c r="CF2" s="63" t="s">
        <v>52</v>
      </c>
      <c r="CG2" s="65" t="s">
        <v>279</v>
      </c>
      <c r="CH2" s="63" t="s">
        <v>54</v>
      </c>
      <c r="CI2" s="63" t="s">
        <v>55</v>
      </c>
      <c r="CJ2" s="65" t="s">
        <v>302</v>
      </c>
      <c r="CK2" s="63" t="s">
        <v>56</v>
      </c>
      <c r="CL2" s="63" t="s">
        <v>57</v>
      </c>
      <c r="CM2" s="65" t="s">
        <v>280</v>
      </c>
      <c r="CN2" s="63" t="s">
        <v>58</v>
      </c>
      <c r="CO2" s="63" t="s">
        <v>59</v>
      </c>
      <c r="CP2" s="65" t="s">
        <v>303</v>
      </c>
      <c r="CQ2" s="63" t="s">
        <v>60</v>
      </c>
      <c r="CR2" s="63" t="s">
        <v>61</v>
      </c>
      <c r="CS2" s="65" t="s">
        <v>281</v>
      </c>
      <c r="CT2" s="65" t="s">
        <v>62</v>
      </c>
      <c r="CU2" s="65" t="s">
        <v>63</v>
      </c>
      <c r="CV2" s="65" t="s">
        <v>304</v>
      </c>
      <c r="CW2" s="65" t="s">
        <v>64</v>
      </c>
      <c r="CX2" s="65" t="s">
        <v>65</v>
      </c>
      <c r="CY2" s="65" t="s">
        <v>282</v>
      </c>
      <c r="CZ2" s="65" t="s">
        <v>66</v>
      </c>
      <c r="DA2" s="65" t="s">
        <v>67</v>
      </c>
      <c r="DB2" s="65" t="s">
        <v>305</v>
      </c>
      <c r="DC2" s="65" t="s">
        <v>68</v>
      </c>
      <c r="DD2" s="65" t="s">
        <v>69</v>
      </c>
      <c r="DE2" s="65" t="s">
        <v>283</v>
      </c>
      <c r="DF2" s="65" t="s">
        <v>70</v>
      </c>
      <c r="DG2" s="65" t="s">
        <v>71</v>
      </c>
      <c r="DH2" s="65" t="s">
        <v>306</v>
      </c>
      <c r="DI2" s="65" t="s">
        <v>72</v>
      </c>
      <c r="DJ2" s="65" t="s">
        <v>73</v>
      </c>
      <c r="DK2" s="65" t="s">
        <v>284</v>
      </c>
      <c r="DL2" s="65" t="s">
        <v>74</v>
      </c>
      <c r="DM2" s="65" t="s">
        <v>75</v>
      </c>
      <c r="DN2" s="65" t="s">
        <v>307</v>
      </c>
      <c r="DO2" s="65" t="s">
        <v>76</v>
      </c>
      <c r="DP2" s="65" t="s">
        <v>77</v>
      </c>
      <c r="DQ2" s="65" t="s">
        <v>285</v>
      </c>
      <c r="DR2" s="65" t="s">
        <v>78</v>
      </c>
      <c r="DS2" s="65" t="s">
        <v>79</v>
      </c>
      <c r="DT2" s="65" t="s">
        <v>308</v>
      </c>
      <c r="DU2" s="65" t="s">
        <v>80</v>
      </c>
      <c r="DV2" s="65" t="s">
        <v>81</v>
      </c>
      <c r="DW2" s="65" t="s">
        <v>286</v>
      </c>
      <c r="DX2" s="65" t="s">
        <v>82</v>
      </c>
      <c r="DY2" s="65" t="s">
        <v>83</v>
      </c>
      <c r="DZ2" s="65" t="s">
        <v>309</v>
      </c>
      <c r="EA2" s="65" t="s">
        <v>84</v>
      </c>
      <c r="EB2" s="65" t="s">
        <v>85</v>
      </c>
      <c r="EC2" s="65" t="s">
        <v>287</v>
      </c>
      <c r="ED2" s="65" t="s">
        <v>86</v>
      </c>
      <c r="EE2" s="65" t="s">
        <v>87</v>
      </c>
      <c r="EF2" s="65" t="s">
        <v>310</v>
      </c>
      <c r="EG2" s="65" t="s">
        <v>88</v>
      </c>
      <c r="EH2" s="65" t="s">
        <v>89</v>
      </c>
      <c r="EI2" s="65" t="s">
        <v>288</v>
      </c>
      <c r="EJ2" s="65" t="s">
        <v>90</v>
      </c>
      <c r="EK2" s="65" t="s">
        <v>91</v>
      </c>
      <c r="EL2" s="65" t="s">
        <v>311</v>
      </c>
      <c r="EM2" s="65" t="s">
        <v>92</v>
      </c>
      <c r="EN2" s="65" t="s">
        <v>93</v>
      </c>
      <c r="EO2" s="65" t="s">
        <v>289</v>
      </c>
      <c r="EP2" s="65" t="s">
        <v>94</v>
      </c>
      <c r="EQ2" s="65" t="s">
        <v>95</v>
      </c>
      <c r="ER2" s="65" t="s">
        <v>312</v>
      </c>
      <c r="ES2" s="65" t="s">
        <v>96</v>
      </c>
      <c r="ET2" s="65" t="s">
        <v>97</v>
      </c>
      <c r="EU2" s="65" t="s">
        <v>290</v>
      </c>
      <c r="EV2" s="65" t="s">
        <v>98</v>
      </c>
      <c r="EW2" s="65" t="s">
        <v>99</v>
      </c>
      <c r="EX2" s="65" t="s">
        <v>313</v>
      </c>
      <c r="EY2" s="65" t="s">
        <v>100</v>
      </c>
      <c r="EZ2" s="65" t="s">
        <v>101</v>
      </c>
      <c r="FA2" s="65" t="s">
        <v>291</v>
      </c>
      <c r="FB2" s="65" t="s">
        <v>102</v>
      </c>
      <c r="FC2" s="65" t="s">
        <v>103</v>
      </c>
      <c r="FD2" s="65" t="s">
        <v>314</v>
      </c>
      <c r="FE2" s="65" t="s">
        <v>104</v>
      </c>
      <c r="FF2" s="65" t="s">
        <v>105</v>
      </c>
      <c r="FG2" s="65" t="s">
        <v>292</v>
      </c>
      <c r="FH2" s="65" t="s">
        <v>106</v>
      </c>
      <c r="FI2" s="65" t="s">
        <v>107</v>
      </c>
      <c r="FJ2" s="65" t="s">
        <v>315</v>
      </c>
      <c r="FK2" s="65" t="s">
        <v>108</v>
      </c>
      <c r="FL2" s="65" t="s">
        <v>109</v>
      </c>
      <c r="FM2" s="65" t="s">
        <v>293</v>
      </c>
      <c r="FN2" s="65" t="s">
        <v>110</v>
      </c>
      <c r="FO2" s="65" t="s">
        <v>111</v>
      </c>
      <c r="FP2" s="65" t="s">
        <v>316</v>
      </c>
      <c r="FQ2" s="65" t="s">
        <v>112</v>
      </c>
      <c r="FR2" s="65" t="s">
        <v>113</v>
      </c>
      <c r="FS2" s="65" t="s">
        <v>294</v>
      </c>
      <c r="FT2" s="65" t="s">
        <v>114</v>
      </c>
      <c r="FU2" s="65" t="s">
        <v>115</v>
      </c>
      <c r="FV2" s="65" t="s">
        <v>317</v>
      </c>
      <c r="FW2" s="65" t="s">
        <v>116</v>
      </c>
      <c r="FX2" s="65" t="s">
        <v>117</v>
      </c>
      <c r="FY2" s="65" t="s">
        <v>295</v>
      </c>
      <c r="FZ2" s="65" t="s">
        <v>118</v>
      </c>
      <c r="GA2" s="65" t="s">
        <v>119</v>
      </c>
      <c r="GB2" s="65" t="s">
        <v>318</v>
      </c>
      <c r="GC2" s="65" t="s">
        <v>120</v>
      </c>
      <c r="GD2" s="65" t="s">
        <v>121</v>
      </c>
      <c r="GE2" s="65" t="s">
        <v>296</v>
      </c>
      <c r="GF2" s="65" t="s">
        <v>122</v>
      </c>
      <c r="GG2" s="65" t="s">
        <v>123</v>
      </c>
      <c r="GH2" s="65" t="s">
        <v>319</v>
      </c>
      <c r="GI2" s="65" t="s">
        <v>124</v>
      </c>
      <c r="GJ2" s="65" t="s">
        <v>125</v>
      </c>
      <c r="GK2" s="65" t="s">
        <v>297</v>
      </c>
      <c r="GL2" s="65" t="s">
        <v>126</v>
      </c>
      <c r="GM2" s="65" t="s">
        <v>127</v>
      </c>
      <c r="GN2" s="65" t="s">
        <v>320</v>
      </c>
      <c r="GO2" s="65" t="s">
        <v>128</v>
      </c>
      <c r="GP2" s="65" t="s">
        <v>129</v>
      </c>
      <c r="GQ2" s="65" t="s">
        <v>298</v>
      </c>
      <c r="GR2" s="65" t="s">
        <v>130</v>
      </c>
      <c r="GS2" s="65" t="s">
        <v>131</v>
      </c>
      <c r="GT2" s="65" t="s">
        <v>321</v>
      </c>
      <c r="GU2" s="65" t="s">
        <v>132</v>
      </c>
      <c r="GV2" s="65" t="s">
        <v>133</v>
      </c>
      <c r="GW2" s="65" t="s">
        <v>299</v>
      </c>
      <c r="GX2" s="65" t="s">
        <v>134</v>
      </c>
      <c r="GY2" s="65" t="s">
        <v>135</v>
      </c>
      <c r="GZ2" s="65" t="s">
        <v>322</v>
      </c>
      <c r="HA2" s="65" t="s">
        <v>136</v>
      </c>
      <c r="HB2" s="65" t="s">
        <v>137</v>
      </c>
      <c r="HC2" s="65" t="s">
        <v>300</v>
      </c>
      <c r="HD2" s="63" t="s">
        <v>150</v>
      </c>
      <c r="HE2" s="63" t="s">
        <v>151</v>
      </c>
      <c r="HF2" s="63" t="s">
        <v>152</v>
      </c>
      <c r="HG2" s="63" t="s">
        <v>153</v>
      </c>
      <c r="HH2" s="72" t="s">
        <v>159</v>
      </c>
      <c r="HJ2" s="63" t="s">
        <v>323</v>
      </c>
      <c r="HK2" s="63" t="s">
        <v>612</v>
      </c>
      <c r="HL2" s="63" t="s">
        <v>613</v>
      </c>
      <c r="HM2" s="63" t="s">
        <v>324</v>
      </c>
      <c r="HN2" s="63" t="s">
        <v>277</v>
      </c>
      <c r="HO2" s="63" t="s">
        <v>326</v>
      </c>
      <c r="HP2" s="63" t="s">
        <v>325</v>
      </c>
      <c r="HR2" s="80" t="s">
        <v>549</v>
      </c>
      <c r="HS2" s="67" t="s">
        <v>458</v>
      </c>
      <c r="HU2" s="63" t="s">
        <v>460</v>
      </c>
      <c r="HV2" s="63" t="s">
        <v>461</v>
      </c>
      <c r="HW2" s="65" t="s">
        <v>462</v>
      </c>
      <c r="HX2" s="74" t="s">
        <v>463</v>
      </c>
      <c r="HY2" s="65" t="s">
        <v>464</v>
      </c>
      <c r="HZ2" s="65" t="s">
        <v>465</v>
      </c>
      <c r="IA2" s="65" t="s">
        <v>466</v>
      </c>
      <c r="IB2" s="65" t="s">
        <v>467</v>
      </c>
      <c r="IC2" s="65" t="s">
        <v>468</v>
      </c>
      <c r="ID2" s="65" t="s">
        <v>469</v>
      </c>
      <c r="IE2" s="65" t="s">
        <v>470</v>
      </c>
      <c r="IF2" s="65" t="s">
        <v>471</v>
      </c>
      <c r="IG2" s="65" t="s">
        <v>472</v>
      </c>
      <c r="IH2" s="65" t="s">
        <v>473</v>
      </c>
      <c r="II2" s="65" t="s">
        <v>474</v>
      </c>
      <c r="IJ2" s="65" t="s">
        <v>475</v>
      </c>
      <c r="IK2" s="65" t="s">
        <v>476</v>
      </c>
      <c r="IL2" s="65" t="s">
        <v>477</v>
      </c>
      <c r="IM2" s="65" t="s">
        <v>478</v>
      </c>
      <c r="IN2" s="65" t="s">
        <v>479</v>
      </c>
      <c r="IO2" s="65" t="s">
        <v>480</v>
      </c>
      <c r="IP2" s="65" t="s">
        <v>481</v>
      </c>
      <c r="IQ2" s="65" t="s">
        <v>482</v>
      </c>
      <c r="IR2" s="65" t="s">
        <v>483</v>
      </c>
      <c r="IS2" s="65" t="s">
        <v>484</v>
      </c>
      <c r="IT2" s="65" t="s">
        <v>485</v>
      </c>
      <c r="IU2" s="65" t="s">
        <v>486</v>
      </c>
      <c r="IV2" s="65" t="s">
        <v>487</v>
      </c>
      <c r="IW2" s="65" t="s">
        <v>488</v>
      </c>
      <c r="IX2" s="65" t="s">
        <v>489</v>
      </c>
      <c r="IY2" s="65" t="s">
        <v>490</v>
      </c>
      <c r="IZ2" s="65" t="s">
        <v>491</v>
      </c>
      <c r="JA2" s="65" t="s">
        <v>492</v>
      </c>
      <c r="JB2" s="65" t="s">
        <v>493</v>
      </c>
      <c r="JC2" s="65" t="s">
        <v>494</v>
      </c>
      <c r="JD2" s="65" t="s">
        <v>495</v>
      </c>
      <c r="JE2" s="65" t="s">
        <v>496</v>
      </c>
      <c r="JF2" s="65" t="s">
        <v>497</v>
      </c>
      <c r="JG2" s="65" t="s">
        <v>498</v>
      </c>
      <c r="JH2" s="65" t="s">
        <v>499</v>
      </c>
      <c r="JI2" s="65" t="s">
        <v>500</v>
      </c>
      <c r="JJ2" s="65" t="s">
        <v>501</v>
      </c>
      <c r="JK2" s="65" t="s">
        <v>502</v>
      </c>
      <c r="JL2" s="65" t="s">
        <v>503</v>
      </c>
      <c r="JN2" s="65" t="s">
        <v>459</v>
      </c>
      <c r="JO2" s="77"/>
      <c r="JP2" s="90" t="s">
        <v>550</v>
      </c>
      <c r="JQ2" s="90" t="s">
        <v>551</v>
      </c>
      <c r="JR2" s="91" t="s">
        <v>552</v>
      </c>
      <c r="JS2" s="91" t="s">
        <v>507</v>
      </c>
      <c r="JT2" s="91" t="s">
        <v>508</v>
      </c>
      <c r="JU2" s="91" t="s">
        <v>553</v>
      </c>
      <c r="JV2" s="91" t="s">
        <v>509</v>
      </c>
      <c r="JW2" s="91" t="s">
        <v>510</v>
      </c>
      <c r="JX2" s="91" t="s">
        <v>554</v>
      </c>
      <c r="JY2" s="91" t="s">
        <v>511</v>
      </c>
      <c r="JZ2" s="91" t="s">
        <v>512</v>
      </c>
      <c r="KA2" s="91" t="s">
        <v>555</v>
      </c>
      <c r="KB2" s="91" t="s">
        <v>513</v>
      </c>
      <c r="KC2" s="91" t="s">
        <v>514</v>
      </c>
      <c r="KD2" s="91" t="s">
        <v>556</v>
      </c>
      <c r="KE2" s="91" t="s">
        <v>515</v>
      </c>
      <c r="KF2" s="91" t="s">
        <v>516</v>
      </c>
      <c r="KG2" s="91" t="s">
        <v>557</v>
      </c>
      <c r="KH2" s="91" t="s">
        <v>517</v>
      </c>
      <c r="KI2" s="91" t="s">
        <v>518</v>
      </c>
      <c r="KJ2" s="91" t="s">
        <v>558</v>
      </c>
      <c r="KK2" s="91" t="s">
        <v>519</v>
      </c>
      <c r="KL2" s="91" t="s">
        <v>520</v>
      </c>
      <c r="KM2" s="91" t="s">
        <v>559</v>
      </c>
      <c r="KN2" s="91" t="s">
        <v>521</v>
      </c>
      <c r="KO2" s="91" t="s">
        <v>522</v>
      </c>
      <c r="KP2" s="91" t="s">
        <v>560</v>
      </c>
      <c r="KQ2" s="91" t="s">
        <v>523</v>
      </c>
      <c r="KR2" s="91" t="s">
        <v>524</v>
      </c>
      <c r="KS2" s="91" t="s">
        <v>561</v>
      </c>
      <c r="KT2" s="91" t="s">
        <v>525</v>
      </c>
      <c r="KU2" s="91" t="s">
        <v>526</v>
      </c>
      <c r="KV2" s="91" t="s">
        <v>562</v>
      </c>
      <c r="KW2" s="91" t="s">
        <v>527</v>
      </c>
      <c r="KX2" s="91" t="s">
        <v>528</v>
      </c>
      <c r="KY2" s="91" t="s">
        <v>563</v>
      </c>
      <c r="KZ2" s="91" t="s">
        <v>529</v>
      </c>
      <c r="LA2" s="91" t="s">
        <v>530</v>
      </c>
      <c r="LB2" s="91" t="s">
        <v>564</v>
      </c>
      <c r="LC2" s="91" t="s">
        <v>531</v>
      </c>
      <c r="LD2" s="91" t="s">
        <v>532</v>
      </c>
      <c r="LE2" s="91" t="s">
        <v>565</v>
      </c>
      <c r="LF2" s="91" t="s">
        <v>533</v>
      </c>
      <c r="LG2" s="91" t="s">
        <v>534</v>
      </c>
      <c r="LH2" s="63" t="s">
        <v>566</v>
      </c>
      <c r="LI2" s="63" t="s">
        <v>535</v>
      </c>
      <c r="LJ2" s="63" t="s">
        <v>536</v>
      </c>
      <c r="LK2" s="63" t="s">
        <v>567</v>
      </c>
      <c r="LL2" s="63" t="s">
        <v>537</v>
      </c>
      <c r="LM2" s="63" t="s">
        <v>538</v>
      </c>
      <c r="LN2" s="63" t="s">
        <v>568</v>
      </c>
      <c r="LO2" s="63" t="s">
        <v>539</v>
      </c>
      <c r="LP2" s="63" t="s">
        <v>540</v>
      </c>
      <c r="LQ2" s="63" t="s">
        <v>569</v>
      </c>
      <c r="LR2" s="63" t="s">
        <v>541</v>
      </c>
      <c r="LS2" s="63" t="s">
        <v>542</v>
      </c>
      <c r="LT2" s="63" t="s">
        <v>570</v>
      </c>
      <c r="LU2" s="63" t="s">
        <v>543</v>
      </c>
      <c r="LV2" s="63" t="s">
        <v>544</v>
      </c>
      <c r="LW2" s="63" t="s">
        <v>571</v>
      </c>
      <c r="LX2" s="63" t="s">
        <v>545</v>
      </c>
      <c r="LY2" s="63" t="s">
        <v>546</v>
      </c>
      <c r="LZ2" s="63" t="s">
        <v>572</v>
      </c>
      <c r="MA2" s="63" t="s">
        <v>547</v>
      </c>
      <c r="MB2" s="63" t="s">
        <v>548</v>
      </c>
      <c r="MC2" s="63" t="s">
        <v>573</v>
      </c>
      <c r="ME2" s="88" t="s">
        <v>575</v>
      </c>
    </row>
    <row r="3" spans="1:343" x14ac:dyDescent="0.55000000000000004">
      <c r="A3" t="s">
        <v>1</v>
      </c>
      <c r="B3" t="s">
        <v>3</v>
      </c>
      <c r="C3" s="31">
        <v>45992</v>
      </c>
      <c r="D3" s="31" t="s">
        <v>329</v>
      </c>
      <c r="E3" s="31"/>
      <c r="F3" s="31"/>
      <c r="G3" s="1">
        <f>+'1_압구정3'!E14</f>
        <v>240446</v>
      </c>
      <c r="H3" s="1" t="str">
        <f>+'1_압구정3'!D14</f>
        <v>3종일주</v>
      </c>
      <c r="I3" s="2">
        <f>+'1_압구정3'!G17</f>
        <v>2.9998999999999998</v>
      </c>
      <c r="J3" s="1">
        <f>+'1_압구정3'!E15</f>
        <v>28970.6</v>
      </c>
      <c r="K3" s="60" t="str">
        <f>+'1_압구정3'!D15</f>
        <v>준주</v>
      </c>
      <c r="L3" s="2">
        <f>+'1_압구정3'!G18</f>
        <v>4.3689</v>
      </c>
      <c r="M3" s="1">
        <f>+'1_압구정3'!G19</f>
        <v>10918</v>
      </c>
      <c r="N3" s="3">
        <f>+G3*I3</f>
        <v>721313.95539999998</v>
      </c>
      <c r="O3">
        <f>+J3*L3</f>
        <v>126569.65433999999</v>
      </c>
      <c r="P3" s="4">
        <f>+Q3-N3-O3</f>
        <v>566569.3402600002</v>
      </c>
      <c r="Q3" s="61">
        <f>+'1_압구정3'!N20</f>
        <v>1414452.9500000002</v>
      </c>
      <c r="R3" s="61" t="s">
        <v>13</v>
      </c>
      <c r="S3" s="8">
        <f>+'1_압구정3'!E148</f>
        <v>10.58</v>
      </c>
      <c r="T3" s="10">
        <v>0.3</v>
      </c>
      <c r="U3" s="9">
        <f>+Q3*0.3025*(S3)*(1+T3)</f>
        <v>5884951.7269757511</v>
      </c>
      <c r="V3" s="5" t="s">
        <v>435</v>
      </c>
      <c r="W3" s="68">
        <f>+'1_압구정3'!G154</f>
        <v>59</v>
      </c>
      <c r="X3" s="68">
        <f>+'1_압구정3'!H154</f>
        <v>80.071428571428569</v>
      </c>
      <c r="Y3" s="69">
        <f>+'1_압구정3'!F154</f>
        <v>0</v>
      </c>
      <c r="Z3" s="1">
        <f>+'1_압구정3'!G155</f>
        <v>84</v>
      </c>
      <c r="AA3" s="83">
        <f>+'1_압구정3'!H155</f>
        <v>114</v>
      </c>
      <c r="AB3" s="1">
        <f>+'1_압구정3'!F155</f>
        <v>408</v>
      </c>
      <c r="AC3" s="1">
        <f>+'1_압구정3'!G156</f>
        <v>143.1838814208258</v>
      </c>
      <c r="AD3" s="1">
        <f>+'1_압구정3'!H156</f>
        <v>194.32098192826359</v>
      </c>
      <c r="AE3" s="1">
        <f>+'1_압구정3'!F156</f>
        <v>3526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8">
        <v>83</v>
      </c>
      <c r="AY3" s="37">
        <f>+(Y3*X3+AB3*AA3+AE3*AD3+AH3*AG3+AK3*AJ3+AN3*AM3+AQ3*AP3+AT3*AS3+AW3*AV3)*AX3*0.3025</f>
        <v>18370850.993571434</v>
      </c>
      <c r="AZ3" s="68">
        <f>+'1_압구정3'!G157</f>
        <v>59</v>
      </c>
      <c r="BA3" s="7">
        <f>+'1_압구정3'!H157</f>
        <v>80.071428571428569</v>
      </c>
      <c r="BB3" s="69">
        <f>+'1_압구정3'!F157</f>
        <v>522</v>
      </c>
      <c r="BC3" s="1">
        <f>+'1_압구정3'!G158</f>
        <v>84</v>
      </c>
      <c r="BD3" s="1">
        <f>+'1_압구정3'!H158</f>
        <v>114</v>
      </c>
      <c r="BE3" s="1">
        <f>+'1_압구정3'!F158</f>
        <v>78</v>
      </c>
      <c r="BF3" s="1">
        <f>+'1_압구정3'!G159</f>
        <v>143.1838814208258</v>
      </c>
      <c r="BG3" s="1">
        <f>+'1_압구정3'!H159</f>
        <v>194.32098192826359</v>
      </c>
      <c r="BH3" s="1">
        <f>+'1_압구정3'!F159</f>
        <v>0</v>
      </c>
      <c r="BI3" s="8">
        <v>85</v>
      </c>
      <c r="BJ3" s="1">
        <f>+(BB3*BA3+BE3*BD3+BH3*BG3)*BI3*0.3025</f>
        <v>1303348.2589285714</v>
      </c>
      <c r="BK3" s="68">
        <f>+'1_압구정3'!G161</f>
        <v>59</v>
      </c>
      <c r="BL3" s="7">
        <f>+'1_압구정3'!H161</f>
        <v>80.071428571428569</v>
      </c>
      <c r="BM3" s="69">
        <f>+'1_압구정3'!F161</f>
        <v>511</v>
      </c>
      <c r="BN3" s="1">
        <f>+'1_압구정3'!G162</f>
        <v>84</v>
      </c>
      <c r="BO3" s="1">
        <f>+'1_압구정3'!H162</f>
        <v>114</v>
      </c>
      <c r="BP3" s="1">
        <f>+'1_압구정3'!F162</f>
        <v>130</v>
      </c>
      <c r="BQ3" s="1">
        <f>+'1_압구정3'!G163</f>
        <v>143.1838814208258</v>
      </c>
      <c r="BR3" s="1">
        <f>+'1_압구정3'!H163</f>
        <v>194.32098192826359</v>
      </c>
      <c r="BS3" s="1">
        <f>+'1_압구정3'!F163</f>
        <v>0</v>
      </c>
      <c r="BT3" s="1"/>
      <c r="BU3" s="1"/>
      <c r="BV3" s="1"/>
      <c r="BW3" s="1">
        <v>6</v>
      </c>
      <c r="BX3" s="1">
        <f>+(BM3*BL3+BP3*BO3+BS3*BR3)*BW3*0.3025</f>
        <v>101161.7475</v>
      </c>
      <c r="BY3" s="23">
        <f>+'1_압구정3'!K165</f>
        <v>1332639</v>
      </c>
      <c r="BZ3" s="9">
        <f>+AY3+BJ3+BX3+BY3</f>
        <v>21108000.000000004</v>
      </c>
      <c r="CA3" s="5" t="s">
        <v>30</v>
      </c>
      <c r="CB3" t="str">
        <f>'1_압구정3'!C184</f>
        <v>1,2차</v>
      </c>
      <c r="CC3">
        <f>'1_압구정3'!D184</f>
        <v>43</v>
      </c>
      <c r="CD3">
        <f>'1_압구정3'!Q184</f>
        <v>131.47999999999999</v>
      </c>
      <c r="CE3">
        <f>'1_압구정3'!E184</f>
        <v>216</v>
      </c>
      <c r="CF3" s="9">
        <f>'1_압구정3'!F184</f>
        <v>5063</v>
      </c>
      <c r="CG3" s="9">
        <f>'1_압구정3'!R184</f>
        <v>6683.5</v>
      </c>
      <c r="CH3" t="str">
        <f>'1_압구정3'!C185</f>
        <v>1,2차</v>
      </c>
      <c r="CI3">
        <f>'1_압구정3'!D185</f>
        <v>53</v>
      </c>
      <c r="CJ3">
        <f>'1_압구정3'!Q185</f>
        <v>161.19</v>
      </c>
      <c r="CK3">
        <f>'1_압구정3'!E185</f>
        <v>180</v>
      </c>
      <c r="CL3" s="9">
        <f>'1_압구정3'!F185</f>
        <v>7088</v>
      </c>
      <c r="CM3" s="9">
        <f>'1_압구정3'!R185</f>
        <v>8616.5</v>
      </c>
      <c r="CN3" t="str">
        <f>'1_압구정3'!C186</f>
        <v>1,2차</v>
      </c>
      <c r="CO3">
        <f>'1_압구정3'!D186</f>
        <v>54</v>
      </c>
      <c r="CP3">
        <f>'1_압구정3'!Q186</f>
        <v>172.94</v>
      </c>
      <c r="CQ3">
        <f>'1_압구정3'!E186</f>
        <v>264</v>
      </c>
      <c r="CR3" s="9">
        <f>'1_압구정3'!F186</f>
        <v>6928</v>
      </c>
      <c r="CS3" s="9">
        <f>'1_압구정3'!R186</f>
        <v>9670.1318755704306</v>
      </c>
      <c r="CT3" t="str">
        <f>'1_압구정3'!C187</f>
        <v>1,2차</v>
      </c>
      <c r="CU3">
        <f>'1_압구정3'!D187</f>
        <v>65</v>
      </c>
      <c r="CV3">
        <f>'1_압구정3'!Q187</f>
        <v>196.21</v>
      </c>
      <c r="CW3">
        <f>'1_압구정3'!E187</f>
        <v>300</v>
      </c>
      <c r="CX3" s="9">
        <f>'1_압구정3'!F187</f>
        <v>8328</v>
      </c>
      <c r="CY3" s="9">
        <f>'1_압구정3'!R187</f>
        <v>12091.5</v>
      </c>
      <c r="CZ3" t="str">
        <f>'1_압구정3'!C188</f>
        <v>3차</v>
      </c>
      <c r="DA3">
        <f>'1_압구정3'!D188</f>
        <v>33</v>
      </c>
      <c r="DB3">
        <f>'1_압구정3'!Q188</f>
        <v>82.5</v>
      </c>
      <c r="DC3">
        <f>'1_압구정3'!E188</f>
        <v>432</v>
      </c>
      <c r="DD3" s="9">
        <f>'1_압구정3'!F188</f>
        <v>4091</v>
      </c>
      <c r="DE3" s="9">
        <f>'1_압구정3'!R188</f>
        <v>5662.5</v>
      </c>
      <c r="DF3" t="str">
        <f>'1_압구정3'!C189</f>
        <v>4차</v>
      </c>
      <c r="DG3">
        <f>'1_압구정3'!D189</f>
        <v>44</v>
      </c>
      <c r="DH3">
        <f>'1_압구정3'!Q189</f>
        <v>117.91</v>
      </c>
      <c r="DI3">
        <f>'1_압구정3'!E189</f>
        <v>170</v>
      </c>
      <c r="DJ3" s="9">
        <f>'1_압구정3'!F189</f>
        <v>5989</v>
      </c>
      <c r="DK3" s="9">
        <f>'1_압구정3'!R189</f>
        <v>7750</v>
      </c>
      <c r="DL3" t="str">
        <f>'1_압구정3'!C190</f>
        <v>5차</v>
      </c>
      <c r="DM3">
        <f>'1_압구정3'!D190</f>
        <v>35</v>
      </c>
      <c r="DN3">
        <f>'1_압구정3'!Q190</f>
        <v>82.23</v>
      </c>
      <c r="DO3">
        <f>'1_압구정3'!E190</f>
        <v>224</v>
      </c>
      <c r="DP3" s="9">
        <f>'1_압구정3'!F190</f>
        <v>4259</v>
      </c>
      <c r="DQ3" s="9">
        <f>'1_압구정3'!R190</f>
        <v>6200</v>
      </c>
      <c r="DR3" t="str">
        <f>'1_압구정3'!C191</f>
        <v>6,7차</v>
      </c>
      <c r="DS3">
        <f>'1_압구정3'!D191</f>
        <v>48</v>
      </c>
      <c r="DT3">
        <f>'1_압구정3'!Q191</f>
        <v>144.69999999999999</v>
      </c>
      <c r="DU3">
        <f>'1_압구정3'!E191</f>
        <v>560</v>
      </c>
      <c r="DV3" s="9">
        <f>'1_압구정3'!F191</f>
        <v>5798</v>
      </c>
      <c r="DW3" s="9">
        <f>'1_압구정3'!R191</f>
        <v>7608.5</v>
      </c>
      <c r="DX3" t="str">
        <f>'1_압구정3'!C192</f>
        <v>6,7차</v>
      </c>
      <c r="DY3">
        <f>'1_압구정3'!D192</f>
        <v>53</v>
      </c>
      <c r="DZ3">
        <f>'1_압구정3'!Q192</f>
        <v>157.36000000000001</v>
      </c>
      <c r="EA3">
        <f>'1_압구정3'!E192</f>
        <v>420</v>
      </c>
      <c r="EB3" s="9">
        <f>'1_압구정3'!F192</f>
        <v>6373</v>
      </c>
      <c r="EC3" s="9">
        <f>'1_압구정3'!R192</f>
        <v>8550</v>
      </c>
      <c r="ED3" t="str">
        <f>'1_압구정3'!C193</f>
        <v>6,7차</v>
      </c>
      <c r="EE3">
        <f>'1_압구정3'!D193</f>
        <v>65</v>
      </c>
      <c r="EF3">
        <f>'1_압구정3'!Q193</f>
        <v>196.7</v>
      </c>
      <c r="EG3">
        <f>'1_압구정3'!E193</f>
        <v>252</v>
      </c>
      <c r="EH3" s="9">
        <f>'1_압구정3'!F193</f>
        <v>7979</v>
      </c>
      <c r="EI3" s="9">
        <f>'1_압구정3'!R193</f>
        <v>9883.5</v>
      </c>
      <c r="EJ3" t="str">
        <f>'1_압구정3'!C194</f>
        <v>6,7차</v>
      </c>
      <c r="EK3">
        <f>'1_압구정3'!D194</f>
        <v>80</v>
      </c>
      <c r="EL3">
        <f>'1_압구정3'!Q194</f>
        <v>245.2</v>
      </c>
      <c r="EM3">
        <f>'1_압구정3'!E194</f>
        <v>56</v>
      </c>
      <c r="EN3" s="9">
        <f>'1_압구정3'!F194</f>
        <v>9995</v>
      </c>
      <c r="EO3" s="9">
        <f>'1_압구정3'!R194</f>
        <v>12641.5</v>
      </c>
      <c r="EP3" t="str">
        <f>'1_압구정3'!C195</f>
        <v>10차</v>
      </c>
      <c r="EQ3">
        <f>'1_압구정3'!D195</f>
        <v>36</v>
      </c>
      <c r="ER3">
        <f>'1_압구정3'!Q195</f>
        <v>108.15</v>
      </c>
      <c r="ES3">
        <f>'1_압구정3'!E195</f>
        <v>96</v>
      </c>
      <c r="ET3" s="9">
        <f>'1_압구정3'!F195</f>
        <v>4337</v>
      </c>
      <c r="EU3" s="9">
        <f>'1_압구정3'!R195</f>
        <v>6175</v>
      </c>
      <c r="EV3" t="str">
        <f>'1_압구정3'!C196</f>
        <v>10차</v>
      </c>
      <c r="EW3">
        <f>'1_압구정3'!D196</f>
        <v>50</v>
      </c>
      <c r="EX3">
        <f>'1_압구정3'!Q196</f>
        <v>151.93</v>
      </c>
      <c r="EY3">
        <f>'1_압구정3'!E196</f>
        <v>48</v>
      </c>
      <c r="EZ3" s="9">
        <f>'1_압구정3'!F196</f>
        <v>6145</v>
      </c>
      <c r="FA3" s="9">
        <f>'1_압구정3'!R196</f>
        <v>7675</v>
      </c>
      <c r="FB3" t="str">
        <f>'1_압구정3'!C197</f>
        <v>13차</v>
      </c>
      <c r="FC3" t="str">
        <f>'1_압구정3'!D197</f>
        <v>36A</v>
      </c>
      <c r="FD3">
        <f>'1_압구정3'!Q197</f>
        <v>105.45</v>
      </c>
      <c r="FE3">
        <f>'1_압구정3'!E197</f>
        <v>104</v>
      </c>
      <c r="FF3" s="9">
        <f>'1_압구정3'!F197</f>
        <v>4660</v>
      </c>
      <c r="FG3" s="9">
        <f>'1_압구정3'!R197</f>
        <v>6550</v>
      </c>
      <c r="FH3" t="str">
        <f>'1_압구정3'!C198</f>
        <v>13차</v>
      </c>
      <c r="FI3" t="str">
        <f>'1_압구정3'!D198</f>
        <v>36B</v>
      </c>
      <c r="FJ3">
        <f>'1_압구정3'!Q198</f>
        <v>108.47</v>
      </c>
      <c r="FK3">
        <f>'1_압구정3'!E198</f>
        <v>130</v>
      </c>
      <c r="FL3" s="9">
        <f>'1_압구정3'!F198</f>
        <v>4660</v>
      </c>
      <c r="FM3" s="9">
        <f>'1_압구정3'!R198</f>
        <v>6550</v>
      </c>
      <c r="FN3" t="str">
        <f>'1_압구정3'!C199</f>
        <v>14차</v>
      </c>
      <c r="FO3">
        <f>'1_압구정3'!D199</f>
        <v>32</v>
      </c>
      <c r="FP3">
        <f>'1_압구정3'!Q199</f>
        <v>84.98</v>
      </c>
      <c r="FQ3">
        <f>'1_압구정3'!E199</f>
        <v>388</v>
      </c>
      <c r="FR3" s="9">
        <f>'1_압구정3'!F199</f>
        <v>4348</v>
      </c>
      <c r="FS3" s="9">
        <f>'1_압구정3'!R199</f>
        <v>6250</v>
      </c>
      <c r="FT3" t="str">
        <f>'1_압구정3'!C200</f>
        <v>대림아크로빌</v>
      </c>
      <c r="FU3">
        <f>'1_압구정3'!D200</f>
        <v>75</v>
      </c>
      <c r="FV3">
        <f>'1_압구정3'!Q200</f>
        <v>232.67</v>
      </c>
      <c r="FW3">
        <f>'1_압구정3'!E200</f>
        <v>4</v>
      </c>
      <c r="FX3" s="9">
        <f>'1_압구정3'!F200</f>
        <v>6467</v>
      </c>
      <c r="FY3" s="9">
        <f>'1_압구정3'!R200</f>
        <v>10873.832057994361</v>
      </c>
      <c r="FZ3" t="str">
        <f>'1_압구정3'!C201</f>
        <v>대림아크로빌</v>
      </c>
      <c r="GA3">
        <f>'1_압구정3'!D201</f>
        <v>93</v>
      </c>
      <c r="GB3">
        <f>'1_압구정3'!Q201</f>
        <v>243.96</v>
      </c>
      <c r="GC3">
        <f>'1_압구정3'!E201</f>
        <v>52</v>
      </c>
      <c r="GD3" s="9">
        <f>'1_압구정3'!F201</f>
        <v>7449</v>
      </c>
      <c r="GE3" s="9">
        <f>'1_압구정3'!R201</f>
        <v>12525</v>
      </c>
      <c r="GF3" t="str">
        <f>'1_압구정3'!C202</f>
        <v>대림빌라트</v>
      </c>
      <c r="GG3">
        <f>'1_압구정3'!D202</f>
        <v>75</v>
      </c>
      <c r="GH3">
        <f>'1_압구정3'!Q202</f>
        <v>193.33</v>
      </c>
      <c r="GI3">
        <f>'1_압구정3'!E202</f>
        <v>17</v>
      </c>
      <c r="GJ3" s="9">
        <f>'1_압구정3'!F202</f>
        <v>5499</v>
      </c>
      <c r="GK3" s="9">
        <f>'1_압구정3'!R202</f>
        <v>7259.0492790835469</v>
      </c>
      <c r="GL3" t="str">
        <f>'1_압구정3'!C203</f>
        <v>대림빌라트</v>
      </c>
      <c r="GM3">
        <f>'1_압구정3'!D203</f>
        <v>93</v>
      </c>
      <c r="GN3">
        <f>'1_압구정3'!Q203</f>
        <v>234.75</v>
      </c>
      <c r="GO3">
        <f>'1_압구정3'!E203</f>
        <v>2</v>
      </c>
      <c r="GP3" s="9">
        <f>'1_압구정3'!F203</f>
        <v>6602</v>
      </c>
      <c r="GQ3" s="9">
        <f>'1_압구정3'!R203</f>
        <v>8715.0833497926142</v>
      </c>
      <c r="GR3" t="str">
        <f>'1_압구정3'!C204</f>
        <v>현대빌라트</v>
      </c>
      <c r="GS3">
        <f>'1_압구정3'!D204</f>
        <v>73</v>
      </c>
      <c r="GT3">
        <f>'1_압구정3'!Q204</f>
        <v>181.81</v>
      </c>
      <c r="GU3">
        <f>'1_압구정3'!E204</f>
        <v>17</v>
      </c>
      <c r="GV3" s="9">
        <f>'1_압구정3'!F204</f>
        <v>5490</v>
      </c>
      <c r="GW3" s="9">
        <f>'1_압구정3'!R204</f>
        <v>7247.1686746987953</v>
      </c>
      <c r="GX3" t="str">
        <f>'1_압구정3'!C205</f>
        <v>현대빌라트</v>
      </c>
      <c r="GY3">
        <f>'1_압구정3'!D205</f>
        <v>87</v>
      </c>
      <c r="GZ3">
        <f>'1_압구정3'!Q205</f>
        <v>217.03</v>
      </c>
      <c r="HA3">
        <f>'1_압구정3'!E205</f>
        <v>2</v>
      </c>
      <c r="HB3" s="9">
        <f>'1_압구정3'!F205</f>
        <v>6403</v>
      </c>
      <c r="HC3" s="9">
        <f>'1_압구정3'!R205</f>
        <v>8452.3899861742048</v>
      </c>
      <c r="HD3">
        <f>CE3+CK3+CQ3+CW3+DC3+DI3+DO3+DU3+EA3+EG3+EM3+ES3+EY3+FE3+FK3+FQ3+FW3+GC3+GI3+GO3+GU3+HA3</f>
        <v>3934</v>
      </c>
      <c r="HE3" s="3">
        <f>CE3*CF3+CK3*CL3+CQ3*CR3+CW3*CX3+DC3*DD3+DI3*DJ3+DO3*DP3+DU3*DV3+EA3*EB3+EG3*EH3+EM3*EN3+ES3*ET3+EY3*EZ3+FE3*FF3+FK3*FL3+FQ3*FR3+FW3*FX3+GC3*GD3+GI3*GJ3+GO3*GP3+GU3*GV3+HA3*HB3</f>
        <v>23045081</v>
      </c>
      <c r="HF3" s="4">
        <f>+'1_압구정3'!G207</f>
        <v>1891257</v>
      </c>
      <c r="HG3" s="4">
        <f>+HE3+HF3</f>
        <v>24936338</v>
      </c>
      <c r="HH3" s="73">
        <f>+(BZ3-U3)/HG3</f>
        <v>0.61047649711133423</v>
      </c>
      <c r="HJ3" t="str">
        <f>+'1_압구정3'!Y181</f>
        <v>래미안원배일리</v>
      </c>
      <c r="HK3" s="84">
        <f>+'1_압구정3'!Y184</f>
        <v>111.79</v>
      </c>
      <c r="HL3">
        <f>+'1_압구정3'!X184</f>
        <v>6800</v>
      </c>
      <c r="HM3">
        <f>+HL3/(HK3*0.3025)</f>
        <v>201.08541768472318</v>
      </c>
      <c r="HN3">
        <f>+HM3*1.1</f>
        <v>221.19395945319553</v>
      </c>
      <c r="HO3" s="84">
        <f>+HR3</f>
        <v>114</v>
      </c>
      <c r="HP3">
        <f>+HO3*HN3*0.3025</f>
        <v>7627.873691743448</v>
      </c>
      <c r="HR3" s="84" cm="1">
        <f t="array" ref="HR3">_xlfn.IFS(INT(W3)=84,X3,INT(Z3)=84,AA3,INT(AC3)=84,AD3,INT(AF3)=84,AG3,INT(AI3)=84,AJ3,INT(AL3)=84,AM3,INT(AO3)=84,AP3,INT(AR3)=84,AS3,INT(AU3)=84,AV3,TRUE,NA())</f>
        <v>114</v>
      </c>
      <c r="HS3" s="85">
        <f>HR3*AX3*0.3025</f>
        <v>2862.2550000000001</v>
      </c>
      <c r="HU3">
        <f>+CF3*$HH3</f>
        <v>3090.8425048746853</v>
      </c>
      <c r="HV3">
        <f>+$HS3-HU3</f>
        <v>-228.58750487468524</v>
      </c>
      <c r="HW3" s="75">
        <f>+CL3*$HH3</f>
        <v>4327.0574115251366</v>
      </c>
      <c r="HX3" s="75">
        <f>+$HS3-HW3</f>
        <v>-1464.8024115251364</v>
      </c>
      <c r="HY3" s="75">
        <f>+CR3*$HH3</f>
        <v>4229.3811719873238</v>
      </c>
      <c r="HZ3" s="75">
        <f>+$HS3-HY3</f>
        <v>-1367.1261719873237</v>
      </c>
      <c r="IA3" s="75">
        <f>+CX3*$HH3</f>
        <v>5084.0482679431916</v>
      </c>
      <c r="IB3" s="75">
        <f>+$HS3-IA3</f>
        <v>-2221.7932679431915</v>
      </c>
      <c r="IC3" s="75">
        <f>+DD3*$HH3</f>
        <v>2497.4593496824682</v>
      </c>
      <c r="ID3" s="75">
        <f>+$HS3-IC3</f>
        <v>364.79565031753191</v>
      </c>
      <c r="IE3" s="75">
        <f>+DJ3*$HH3</f>
        <v>3656.1437411997808</v>
      </c>
      <c r="IF3" s="75">
        <f>+$HS3-IE3</f>
        <v>-793.88874119978072</v>
      </c>
      <c r="IG3" s="75">
        <f>+DP3*$HH3</f>
        <v>2600.0194011971726</v>
      </c>
      <c r="IH3" s="75">
        <f>+$HS3-IG3</f>
        <v>262.23559880282755</v>
      </c>
      <c r="II3" s="75">
        <f>+DV3*$HH3</f>
        <v>3539.5427302515159</v>
      </c>
      <c r="IJ3" s="75">
        <f>+$HS3-II3</f>
        <v>-677.28773025151577</v>
      </c>
      <c r="IK3" s="75">
        <f>+EB3*$HH3</f>
        <v>3890.5667160905332</v>
      </c>
      <c r="IL3" s="75">
        <f>+$HS3-IK3</f>
        <v>-1028.3117160905331</v>
      </c>
      <c r="IM3" s="75">
        <f>+EH3*$HH3</f>
        <v>4870.9919704513359</v>
      </c>
      <c r="IN3" s="75">
        <f>+$HS3-IM3</f>
        <v>-2008.7369704513358</v>
      </c>
      <c r="IO3" s="75">
        <f>+EN3*$HH3</f>
        <v>6101.7125886277854</v>
      </c>
      <c r="IP3" s="75">
        <f>+$HS3-IO3</f>
        <v>-3239.4575886277853</v>
      </c>
      <c r="IQ3" s="75">
        <f>+ET3*$HH3</f>
        <v>2647.6365679718565</v>
      </c>
      <c r="IR3" s="75">
        <f>+$HS3-IQ3</f>
        <v>214.61843202814362</v>
      </c>
      <c r="IS3" s="75">
        <f>+EZ3*$HH3</f>
        <v>3751.3780747491487</v>
      </c>
      <c r="IT3" s="75">
        <f>+$HS3-IS3</f>
        <v>-889.1230747491486</v>
      </c>
      <c r="IU3" s="75">
        <f>+FF3*$HH3</f>
        <v>2844.8204765388173</v>
      </c>
      <c r="IV3" s="75">
        <f>+$HS3-IU3</f>
        <v>17.434523461182835</v>
      </c>
      <c r="IW3" s="75">
        <f>+FL3*$HH3</f>
        <v>2844.8204765388173</v>
      </c>
      <c r="IX3" s="75">
        <f>+$HS3-IW3</f>
        <v>17.434523461182835</v>
      </c>
      <c r="IY3" s="75">
        <f>+FR3*$HH3</f>
        <v>2654.3518094400811</v>
      </c>
      <c r="IZ3" s="75">
        <f>+$HS3-IY3</f>
        <v>207.90319055991904</v>
      </c>
      <c r="JA3" s="75">
        <f>+FX3*$HH3</f>
        <v>3947.9515068189985</v>
      </c>
      <c r="JB3" s="75">
        <f>+$HS3-JA3</f>
        <v>-1085.6965068189984</v>
      </c>
      <c r="JC3" s="75">
        <f>+GD3*$HH3</f>
        <v>4547.4394269823288</v>
      </c>
      <c r="JD3" s="75">
        <f>+$HS3-JC3</f>
        <v>-1685.1844269823287</v>
      </c>
      <c r="JE3" s="75">
        <f>+GJ3*$HH3</f>
        <v>3357.0102576152267</v>
      </c>
      <c r="JF3" s="75">
        <f>+$HS3-JE3</f>
        <v>-494.75525761522658</v>
      </c>
      <c r="JG3" s="75">
        <f>+GP3*$HH3</f>
        <v>4030.3658339290287</v>
      </c>
      <c r="JH3" s="75">
        <f>+$HS3-JG3</f>
        <v>-1168.1108339290286</v>
      </c>
      <c r="JI3" s="75">
        <f>+GV3*$HH3</f>
        <v>3351.515969141225</v>
      </c>
      <c r="JJ3" s="75">
        <f>+$HS3-JI3</f>
        <v>-489.2609691412249</v>
      </c>
      <c r="JK3" s="75">
        <f>+HB3*$HH3</f>
        <v>3908.881011003873</v>
      </c>
      <c r="JL3" s="75">
        <f>+$HS3-JK3</f>
        <v>-1046.6260110038729</v>
      </c>
      <c r="JN3" s="75">
        <f>+HP3</f>
        <v>7627.873691743448</v>
      </c>
      <c r="JO3" s="78"/>
      <c r="JP3" s="81">
        <f>+CG3+HV3</f>
        <v>6454.9124951253143</v>
      </c>
      <c r="JQ3" s="81">
        <f>+JN3-JP3</f>
        <v>1172.9611966181337</v>
      </c>
      <c r="JR3" s="86">
        <f>IFERROR(JQ3/JP3,"")</f>
        <v>0.18171604921119261</v>
      </c>
      <c r="JS3" s="81">
        <f>+CM3+HX3</f>
        <v>7151.6975884748636</v>
      </c>
      <c r="JT3" s="81">
        <f>+JN3-JS3</f>
        <v>476.17610326858448</v>
      </c>
      <c r="JU3" s="86">
        <f>IFERROR(JT3/JS3,"")</f>
        <v>6.6582248113504411E-2</v>
      </c>
      <c r="JV3" s="81">
        <f>+CS3+HZ3</f>
        <v>8303.0057035831069</v>
      </c>
      <c r="JW3" s="81">
        <f>+JN3-JV3</f>
        <v>-675.13201183965884</v>
      </c>
      <c r="JX3" s="86">
        <f>IFERROR(JW3/JV3,"")</f>
        <v>-8.1311760577053457E-2</v>
      </c>
      <c r="JY3" s="81">
        <f>+CY3+IB3</f>
        <v>9869.7067320568094</v>
      </c>
      <c r="JZ3" s="81">
        <f>+JN3-JY3</f>
        <v>-2241.8330403133614</v>
      </c>
      <c r="KA3" s="86">
        <f>IFERROR(JZ3/JY3,"")</f>
        <v>-0.22714282208932179</v>
      </c>
      <c r="KB3" s="81">
        <f>+DE3+ID3</f>
        <v>6027.2956503175319</v>
      </c>
      <c r="KC3" s="81">
        <f>+JN3-KB3</f>
        <v>1600.5780414259161</v>
      </c>
      <c r="KD3" s="86">
        <f>IFERROR(KC3/KB3,"")</f>
        <v>0.26555492451106061</v>
      </c>
      <c r="KE3" s="81">
        <f>+DK3+IF3</f>
        <v>6956.1112588002197</v>
      </c>
      <c r="KF3" s="81">
        <f>+JN3-KE3</f>
        <v>671.7624329432283</v>
      </c>
      <c r="KG3" s="86">
        <f>IFERROR(KF3/KE3,"")</f>
        <v>9.6571548089225495E-2</v>
      </c>
      <c r="KH3" s="81">
        <f>+DQ3+IH3</f>
        <v>6462.2355988028276</v>
      </c>
      <c r="KI3" s="81">
        <f>+JN3-KH3</f>
        <v>1165.6380929406205</v>
      </c>
      <c r="KJ3" s="86">
        <f>IFERROR(KI3/KH3,"")</f>
        <v>0.18037691060916486</v>
      </c>
      <c r="KK3" s="81">
        <f>+DW3+IJ3</f>
        <v>6931.2122697484847</v>
      </c>
      <c r="KL3" s="81">
        <f>+JN3-KK3</f>
        <v>696.66142199496335</v>
      </c>
      <c r="KM3" s="86">
        <f>IFERROR(KL3/KK3,"")</f>
        <v>0.1005107613044209</v>
      </c>
      <c r="KN3" s="81">
        <f>+EC3+IL3</f>
        <v>7521.6882839094669</v>
      </c>
      <c r="KO3" s="81">
        <f>+JN3-KN3</f>
        <v>106.18540783398112</v>
      </c>
      <c r="KP3" s="86">
        <f>IFERROR(KO3/KN3,"")</f>
        <v>1.4117230577227573E-2</v>
      </c>
      <c r="KQ3" s="81">
        <f>+EI3+IN3</f>
        <v>7874.7630295486642</v>
      </c>
      <c r="KR3" s="81">
        <f>+JN3-KQ3</f>
        <v>-246.8893378052162</v>
      </c>
      <c r="KS3" s="86">
        <f>IFERROR(KR3/KQ3,"")</f>
        <v>-3.1351970450260835E-2</v>
      </c>
      <c r="KT3" s="81">
        <f>+EO3+IP3</f>
        <v>9402.0424113722147</v>
      </c>
      <c r="KU3" s="81">
        <f>+JN3-KT3</f>
        <v>-1774.1687196287667</v>
      </c>
      <c r="KV3" s="86">
        <f>IFERROR(KU3/KT3,"")</f>
        <v>-0.18870035275344277</v>
      </c>
      <c r="KW3" s="81">
        <f>+EU3+IR3</f>
        <v>6389.6184320281436</v>
      </c>
      <c r="KX3" s="81">
        <f>+JN3-KW3</f>
        <v>1238.2552597153044</v>
      </c>
      <c r="KY3" s="86">
        <f>IFERROR(KX3/KW3,"")</f>
        <v>0.19379173778335726</v>
      </c>
      <c r="KZ3" s="81">
        <f>+FA3+IT3</f>
        <v>6785.8769252508519</v>
      </c>
      <c r="LA3" s="81">
        <f>+JN3-KZ3</f>
        <v>841.99676649259618</v>
      </c>
      <c r="LB3" s="86">
        <f>IFERROR(LA3/KZ3,"")</f>
        <v>0.12408076005025249</v>
      </c>
      <c r="LC3" s="81">
        <f>+FG3+IV3</f>
        <v>6567.4345234611828</v>
      </c>
      <c r="LD3" s="81">
        <f>+JN3-LC3</f>
        <v>1060.4391682822652</v>
      </c>
      <c r="LE3" s="86">
        <f>IFERROR(LD3/LC3,"")</f>
        <v>0.16146931720354485</v>
      </c>
      <c r="LF3" s="81">
        <f>+FM3+IX3</f>
        <v>6567.4345234611828</v>
      </c>
      <c r="LG3" s="81">
        <f>+JN3-LF3</f>
        <v>1060.4391682822652</v>
      </c>
      <c r="LH3" s="87">
        <f>IFERROR(LG3/LF3,"")</f>
        <v>0.16146931720354485</v>
      </c>
      <c r="LI3" s="82">
        <f>+FS3+IZ3</f>
        <v>6457.9031905599186</v>
      </c>
      <c r="LJ3" s="82">
        <f>+JN3-LI3</f>
        <v>1169.9705011835294</v>
      </c>
      <c r="LK3" s="87">
        <f>IFERROR(LJ3/LI3,"")</f>
        <v>0.18116878910383444</v>
      </c>
      <c r="LL3" s="82">
        <f>+FY3+JB3</f>
        <v>9788.1355511753627</v>
      </c>
      <c r="LM3" s="82">
        <f>+JN3-LL3</f>
        <v>-2160.2618594319147</v>
      </c>
      <c r="LN3" s="87">
        <f>IFERROR(LM3/LL3,"")</f>
        <v>-0.22070207836184999</v>
      </c>
      <c r="LO3" s="82">
        <f>+GE3+JD3</f>
        <v>10839.815573017671</v>
      </c>
      <c r="LP3" s="82">
        <f>+JN3-LO3</f>
        <v>-3211.9418812742233</v>
      </c>
      <c r="LQ3" s="87">
        <f>IFERROR(LP3/LO3,"")</f>
        <v>-0.29630964287523004</v>
      </c>
      <c r="LR3" s="82">
        <f>+GK3+JF3</f>
        <v>6764.2940214683204</v>
      </c>
      <c r="LS3" s="82">
        <f>+JN3-LR3</f>
        <v>863.57967027512768</v>
      </c>
      <c r="LT3" s="87">
        <f>IFERROR(LS3/LR3,"")</f>
        <v>0.12766737630480335</v>
      </c>
      <c r="LU3" s="82">
        <f>+GQ3+JH3</f>
        <v>7546.9725158635856</v>
      </c>
      <c r="LV3" s="82">
        <f>+JN3-LU3</f>
        <v>80.901175879862421</v>
      </c>
      <c r="LW3" s="87">
        <f>IFERROR(LV3/LU3,"")</f>
        <v>1.0719686034341555E-2</v>
      </c>
      <c r="LX3" s="82">
        <f>+GW3+JJ3</f>
        <v>6757.9077055575708</v>
      </c>
      <c r="LY3" s="82">
        <f>+JN3-LX3</f>
        <v>869.96598618587723</v>
      </c>
      <c r="LZ3" s="87">
        <f>IFERROR(LY3/LX3,"")</f>
        <v>0.1287330375155071</v>
      </c>
      <c r="MA3" s="82">
        <f>+HC3+JL3</f>
        <v>7405.7639751703318</v>
      </c>
      <c r="MB3" s="82">
        <f>+JN3-MA3</f>
        <v>222.1097165731162</v>
      </c>
      <c r="MC3" s="87">
        <f>IFERROR(MB3/MA3,"")</f>
        <v>2.999146574449231E-2</v>
      </c>
      <c r="MD3" s="87"/>
      <c r="ME3" s="89">
        <f>IFERROR(MAX(IFERROR(JR3+0,-9.99E+307),IFERROR(JU3+0,-9.99E+307),IFERROR(JX3+0,-9.99E+307),IFERROR(KA3+0,-9.99E+307),IFERROR(KD3+0,-9.99E+307),IFERROR(KG3+0,-9.99E+307),IFERROR(KJ3+0,-9.99E+307),IFERROR(KM3+0,-9.99E+307),IFERROR(KP3+0,-9.99E+307),IFERROR(KS3+0,-9.99E+307),IFERROR(KV3+0,-9.99E+307),IFERROR(KY3+0,-9.99E+307),IFERROR(LB3+0,-9.99E+307),IFERROR(LE3+0,-9.99E+307),IFERROR(LH3+0,-9.99E+307),IFERROR(LK3+0,-9.99E+307),IFERROR(LN3+0,-9.99E+307),IFERROR(LQ3+0,-9.99E+307),IFERROR(LT3+0,-9.99E+307),IFERROR(LW3+0,-9.99E+307),IFERROR(LZ3+0,-9.99E+307),IFERROR(MC3+0,-9.99E+307)),"")</f>
        <v>0.26555492451106061</v>
      </c>
    </row>
    <row r="4" spans="1:343" x14ac:dyDescent="0.55000000000000004">
      <c r="A4" t="s">
        <v>330</v>
      </c>
      <c r="B4" t="s">
        <v>331</v>
      </c>
      <c r="C4" s="31">
        <v>45484</v>
      </c>
      <c r="D4" t="s">
        <v>417</v>
      </c>
      <c r="G4" s="1">
        <f>+'2_신반포2'!E14</f>
        <v>79638.100000000006</v>
      </c>
      <c r="I4" s="2">
        <f>+'2_신반포2'!G17</f>
        <v>2.9994000000000001</v>
      </c>
      <c r="M4" s="70">
        <f>+'2_신반포2'!N21</f>
        <v>4172</v>
      </c>
      <c r="N4" s="3">
        <f>+G4*I4</f>
        <v>238866.51714000001</v>
      </c>
      <c r="P4" s="4">
        <f>+Q4-N4</f>
        <v>207998.50286000001</v>
      </c>
      <c r="Q4" s="62">
        <f>+'2_신반포2'!N19</f>
        <v>446865.02</v>
      </c>
      <c r="R4" s="103" t="s">
        <v>13</v>
      </c>
      <c r="S4" s="58">
        <f>+'2_신반포2'!E166</f>
        <v>7.8996336076382301</v>
      </c>
      <c r="T4" s="10">
        <v>0.3</v>
      </c>
      <c r="U4" s="9">
        <f>+Q4*0.3025*(S4)*(1+T4)</f>
        <v>1388200</v>
      </c>
      <c r="V4" s="5" t="s">
        <v>13</v>
      </c>
      <c r="W4" s="1">
        <f>'2_신반포2'!D48</f>
        <v>65.95</v>
      </c>
      <c r="X4" s="1">
        <f>'2_신반포2'!E48</f>
        <v>88.373000000000005</v>
      </c>
      <c r="Y4" s="1">
        <f>'2_신반포2'!F48</f>
        <v>336</v>
      </c>
      <c r="Z4" s="1">
        <f>'2_신반포2'!D49</f>
        <v>75.95</v>
      </c>
      <c r="AA4" s="1">
        <f>'2_신반포2'!E49</f>
        <v>101.773</v>
      </c>
      <c r="AB4" s="1">
        <f>'2_신반포2'!F49</f>
        <v>288</v>
      </c>
      <c r="AC4" s="1">
        <f>'2_신반포2'!D50</f>
        <v>84.95</v>
      </c>
      <c r="AD4" s="83">
        <f>'2_신반포2'!E50</f>
        <v>113.408</v>
      </c>
      <c r="AE4" s="1">
        <f>'2_신반포2'!F50</f>
        <v>200</v>
      </c>
      <c r="AF4" s="1">
        <f>'2_신반포2'!D51</f>
        <v>94.950022044300226</v>
      </c>
      <c r="AG4" s="1">
        <f>'2_신반포2'!E51</f>
        <v>126.758</v>
      </c>
      <c r="AH4" s="1">
        <f>'2_신반포2'!F51</f>
        <v>260</v>
      </c>
      <c r="AI4" s="1">
        <f>'2_신반포2'!D52</f>
        <v>105.95004629303048</v>
      </c>
      <c r="AJ4" s="1">
        <f>'2_신반포2'!E52</f>
        <v>141.44300000000001</v>
      </c>
      <c r="AK4" s="1">
        <f>'2_신반포2'!F52</f>
        <v>150</v>
      </c>
      <c r="AL4" s="1">
        <f>'2_신반포2'!D53</f>
        <v>112.95006172404065</v>
      </c>
      <c r="AM4" s="1">
        <f>'2_신반포2'!E53</f>
        <v>150.78800000000001</v>
      </c>
      <c r="AN4" s="1">
        <f>'2_신반포2'!F53</f>
        <v>112</v>
      </c>
      <c r="AO4" s="1">
        <f>'2_신반포2'!D54</f>
        <v>126.95009258606096</v>
      </c>
      <c r="AP4" s="1">
        <f>'2_신반포2'!E54</f>
        <v>169.47800000000001</v>
      </c>
      <c r="AQ4" s="1">
        <f>'2_신반포2'!F54</f>
        <v>130</v>
      </c>
      <c r="AR4" s="1">
        <f>'2_신반포2'!D55</f>
        <v>138.95011903922122</v>
      </c>
      <c r="AS4" s="1">
        <f>'2_신반포2'!E55</f>
        <v>185.49799999999999</v>
      </c>
      <c r="AT4" s="1">
        <f>'2_신반포2'!F55</f>
        <v>91</v>
      </c>
      <c r="AU4" s="1">
        <f>'2_신반포2'!D56</f>
        <v>150.95014549238147</v>
      </c>
      <c r="AV4" s="1">
        <f>'2_신반포2'!E56</f>
        <v>201.518</v>
      </c>
      <c r="AW4" s="1">
        <f>'2_신반포2'!F56</f>
        <v>5</v>
      </c>
      <c r="AX4" s="55">
        <v>73.284178331978637</v>
      </c>
      <c r="AY4" s="37">
        <f>+(Y4*X4+AB4*AA4+AE4*AD4+AH4*AG4+AK4*AJ4+AN4*AM4+AQ4*AP4+AT4*AS4+AW4*AV4)*AX4*0.3025</f>
        <v>4271140</v>
      </c>
      <c r="AZ4" s="1">
        <f>+'2_신반포2'!D58</f>
        <v>59.95</v>
      </c>
      <c r="BA4" s="1">
        <f>+'2_신반포2'!E58</f>
        <v>80.332999999999998</v>
      </c>
      <c r="BB4" s="1">
        <f>+'2_신반포2'!F58</f>
        <v>205</v>
      </c>
      <c r="BC4" s="1">
        <f>+'2_신반포2'!D59</f>
        <v>84.95</v>
      </c>
      <c r="BD4" s="1">
        <f>+'2_신반포2'!E59</f>
        <v>113.408</v>
      </c>
      <c r="BE4" s="1">
        <f>+'2_신반포2'!F59</f>
        <v>20</v>
      </c>
      <c r="BI4" s="8">
        <v>75</v>
      </c>
      <c r="BJ4" s="1">
        <f>+(BB4*BA4+BE4*BD4+BH4*BG4)*BI4*0.3025</f>
        <v>425082.64218749997</v>
      </c>
      <c r="BK4" s="1">
        <v>59.95</v>
      </c>
      <c r="BL4" s="1">
        <v>80.332999999999998</v>
      </c>
      <c r="BM4" s="1">
        <v>118</v>
      </c>
      <c r="BN4" s="1">
        <v>65.95</v>
      </c>
      <c r="BO4" s="1">
        <v>88.373000000000005</v>
      </c>
      <c r="BP4" s="1">
        <v>24</v>
      </c>
      <c r="BQ4" s="1">
        <v>75.95</v>
      </c>
      <c r="BR4" s="1">
        <v>101.773</v>
      </c>
      <c r="BS4" s="1">
        <v>18</v>
      </c>
      <c r="BT4" s="1">
        <v>84.95</v>
      </c>
      <c r="BU4" s="1">
        <v>113.408</v>
      </c>
      <c r="BV4" s="1">
        <v>15</v>
      </c>
      <c r="BX4" s="9">
        <f>+'2_신반포2'!I152</f>
        <v>26328.799999999999</v>
      </c>
      <c r="BY4" s="9">
        <f>+'2_신반포2'!I153</f>
        <v>108990.1</v>
      </c>
      <c r="BZ4" s="9">
        <f>+AY4+BJ4+BX4+BY4</f>
        <v>4831541.5421874998</v>
      </c>
      <c r="CA4" s="5" t="s">
        <v>457</v>
      </c>
      <c r="CC4">
        <f>'2_신반포2'!C217</f>
        <v>68.91</v>
      </c>
      <c r="CD4">
        <f>'2_신반포2'!D217</f>
        <v>68.91</v>
      </c>
      <c r="CE4">
        <f>'2_신반포2'!H217</f>
        <v>336</v>
      </c>
      <c r="CF4">
        <f>'2_신반포2'!I217</f>
        <v>2050</v>
      </c>
      <c r="CG4">
        <f>'2_신반포2'!T217</f>
        <v>4175</v>
      </c>
      <c r="CI4">
        <f>'2_신반포2'!C218</f>
        <v>79.42</v>
      </c>
      <c r="CJ4">
        <f>'2_신반포2'!D218</f>
        <v>79.42</v>
      </c>
      <c r="CK4">
        <f>'2_신반포2'!H218</f>
        <v>288</v>
      </c>
      <c r="CL4">
        <f>'2_신반포2'!I218</f>
        <v>2350</v>
      </c>
      <c r="CM4">
        <f>'2_신반포2'!T218</f>
        <v>4550</v>
      </c>
      <c r="CO4">
        <f>'2_신반포2'!C219</f>
        <v>92.2</v>
      </c>
      <c r="CP4">
        <f>'2_신반포2'!D219</f>
        <v>92.2</v>
      </c>
      <c r="CQ4">
        <f>'2_신반포2'!H219</f>
        <v>192</v>
      </c>
      <c r="CR4">
        <f>'2_신반포2'!I219</f>
        <v>2870</v>
      </c>
      <c r="CS4">
        <f>'2_신반포2'!T219</f>
        <v>4950</v>
      </c>
      <c r="CU4">
        <f>'2_신반포2'!C220</f>
        <v>93.71</v>
      </c>
      <c r="CV4">
        <f>'2_신반포2'!D220</f>
        <v>93.71</v>
      </c>
      <c r="CW4">
        <f>'2_신반포2'!H220</f>
        <v>144</v>
      </c>
      <c r="CX4">
        <f>'2_신반포2'!I220</f>
        <v>2870</v>
      </c>
      <c r="CY4">
        <f>'2_신반포2'!T220</f>
        <v>4950</v>
      </c>
      <c r="DA4">
        <f>'2_신반포2'!C221</f>
        <v>107.31</v>
      </c>
      <c r="DB4">
        <f>'2_신반포2'!D221</f>
        <v>107.31</v>
      </c>
      <c r="DC4">
        <f>'2_신반포2'!H221</f>
        <v>360</v>
      </c>
      <c r="DD4">
        <f>'2_신반포2'!I221</f>
        <v>3150</v>
      </c>
      <c r="DE4">
        <f>'2_신반포2'!T221</f>
        <v>5800</v>
      </c>
      <c r="DG4">
        <f>'2_신반포2'!C222</f>
        <v>135.97</v>
      </c>
      <c r="DH4">
        <f>'2_신반포2'!D222</f>
        <v>135.97</v>
      </c>
      <c r="DI4">
        <f>'2_신반포2'!H222</f>
        <v>60</v>
      </c>
      <c r="DJ4">
        <f>'2_신반포2'!I222</f>
        <v>3850</v>
      </c>
      <c r="DK4">
        <f>'2_신반포2'!T222</f>
        <v>6800</v>
      </c>
      <c r="DM4">
        <f>'2_신반포2'!C223</f>
        <v>137.66</v>
      </c>
      <c r="DN4">
        <f>'2_신반포2'!D223</f>
        <v>137.66</v>
      </c>
      <c r="DO4">
        <f>'2_신반포2'!H223</f>
        <v>96</v>
      </c>
      <c r="DP4">
        <f>'2_신반포2'!I223</f>
        <v>3850</v>
      </c>
      <c r="DQ4">
        <f>'2_신반포2'!T223</f>
        <v>6800</v>
      </c>
      <c r="DS4">
        <f>'2_신반포2'!C224</f>
        <v>150.58000000000001</v>
      </c>
      <c r="DT4">
        <f>'2_신반포2'!D224</f>
        <v>150.58000000000001</v>
      </c>
      <c r="DU4">
        <f>'2_신반포2'!H224</f>
        <v>96</v>
      </c>
      <c r="DV4">
        <f>'2_신반포2'!I224</f>
        <v>4250</v>
      </c>
      <c r="DW4">
        <f>'2_신반포2'!T224</f>
        <v>7700</v>
      </c>
      <c r="HD4">
        <f>CE4+CK4+CQ4+CW4+DC4+DI4+DO4+DU4+EA4+EG4+EM4+ES4+EY4+FE4+FK4+FQ4+FW4+GC4+GI4+GO4+GU4+HA4</f>
        <v>1572</v>
      </c>
      <c r="HE4" s="3">
        <f>CE4*CF4+CK4*CL4+CQ4*CR4+CW4*CX4+DC4*DD4+DI4*DJ4+DO4*DP4+DU4*DV4+EA4*EB4+EG4*EH4+EM4*EN4+ES4*ET4+EY4*EZ4+FE4*FF4+FK4*FL4+FQ4*FR4+FW4*FX4+GC4*GD4+GI4*GJ4+GO4*GP4+GU4*GV4+HA4*HB4</f>
        <v>4472520</v>
      </c>
      <c r="HF4" s="57">
        <f>+'2_신반포2'!J231</f>
        <v>98714</v>
      </c>
      <c r="HG4" s="4">
        <f>+HE4+HF4</f>
        <v>4571234</v>
      </c>
      <c r="HH4" s="73">
        <f>+(BZ4-U4)/HG4</f>
        <v>0.75326302311093674</v>
      </c>
      <c r="HJ4" t="str">
        <f>+'2_신반포2'!AA214</f>
        <v>래미안원배일리</v>
      </c>
      <c r="HK4">
        <f>+'2_신반포2'!AA217</f>
        <v>111.79</v>
      </c>
      <c r="HL4">
        <f>+'2_신반포2'!Z217</f>
        <v>6800</v>
      </c>
      <c r="HM4">
        <f>+HL4/(HK4*0.3025)</f>
        <v>201.08541768472318</v>
      </c>
      <c r="HN4">
        <f>+HM4*1.1</f>
        <v>221.19395945319553</v>
      </c>
      <c r="HO4" s="84">
        <f>+HR4</f>
        <v>113.408</v>
      </c>
      <c r="HP4">
        <f>+HO4*HN4*0.3025</f>
        <v>7588.2622774845704</v>
      </c>
      <c r="HR4" s="84" cm="1">
        <f t="array" ref="HR4">_xlfn.IFS(INT(W4)=84,X4,INT(Z4)=84,AA4,INT(AC4)=84,AD4,INT(AF4)=84,AG4,INT(AI4)=84,AJ4,INT(AL4)=84,AM4,INT(AO4)=84,AP4,INT(AR4)=84,AS4,INT(AU4)=84,AV4,TRUE,NA())</f>
        <v>113.408</v>
      </c>
      <c r="HS4" s="33">
        <f>HR4*AX4*0.3025</f>
        <v>2514.0811591225925</v>
      </c>
      <c r="HU4">
        <f>+CF4*$HH4</f>
        <v>1544.1891973774202</v>
      </c>
      <c r="HV4">
        <f>+$HS4-HU4</f>
        <v>969.89196174517224</v>
      </c>
      <c r="HW4" s="75">
        <f>+CL4*$HH4</f>
        <v>1770.1681043107014</v>
      </c>
      <c r="HX4" s="75">
        <f>+$HS4-HW4</f>
        <v>743.91305481189102</v>
      </c>
      <c r="HY4" s="75">
        <f>+CR4*$HH4</f>
        <v>2161.8648763283886</v>
      </c>
      <c r="HZ4" s="75">
        <f>+$HS4-HY4</f>
        <v>352.21628279420383</v>
      </c>
      <c r="IA4" s="75">
        <f>+CX4*$HH4</f>
        <v>2161.8648763283886</v>
      </c>
      <c r="IB4" s="75">
        <f>+$HS4-IA4</f>
        <v>352.21628279420383</v>
      </c>
      <c r="IC4" s="75">
        <f>+DD4*$HH4</f>
        <v>2372.7785227994509</v>
      </c>
      <c r="ID4" s="75">
        <f>+$HS4-IC4</f>
        <v>141.30263632314154</v>
      </c>
      <c r="IE4" s="75">
        <f>+DJ4*$HH4</f>
        <v>2900.0626389771064</v>
      </c>
      <c r="IF4" s="75">
        <f>+$HS4-IE4</f>
        <v>-385.98147985451396</v>
      </c>
      <c r="IG4" s="75">
        <f>+DP4*$HH4</f>
        <v>2900.0626389771064</v>
      </c>
      <c r="IH4" s="75">
        <f>+$HS4-IG4</f>
        <v>-385.98147985451396</v>
      </c>
      <c r="II4" s="75">
        <f>+DV4*$HH4</f>
        <v>3201.3678482214809</v>
      </c>
      <c r="IJ4" s="75">
        <f>+$HS4-II4</f>
        <v>-687.28668909888847</v>
      </c>
      <c r="IK4" s="75"/>
      <c r="IL4" s="75"/>
      <c r="JN4" s="75">
        <f>+HP4</f>
        <v>7588.2622774845704</v>
      </c>
      <c r="JP4" s="81">
        <f>+CG4+HV4</f>
        <v>5144.891961745172</v>
      </c>
      <c r="JQ4" s="81">
        <f>+JN4-JP4</f>
        <v>2443.3703157393984</v>
      </c>
      <c r="JR4" s="86">
        <f>IFERROR(JQ4/JP4,"")</f>
        <v>0.47491188034793941</v>
      </c>
      <c r="JS4" s="81">
        <f>+CM4+HX4</f>
        <v>5293.913054811891</v>
      </c>
      <c r="JT4" s="81">
        <f>+JN4-JS4</f>
        <v>2294.3492226726794</v>
      </c>
      <c r="JU4" s="86">
        <f>IFERROR(JT4/JS4,"")</f>
        <v>0.43339382398568776</v>
      </c>
      <c r="JV4" s="81">
        <f>+CS4+HZ4</f>
        <v>5302.2162827942038</v>
      </c>
      <c r="JW4" s="81">
        <f>+JN4-JV4</f>
        <v>2286.0459946903666</v>
      </c>
      <c r="JX4" s="86">
        <f>IFERROR(JW4/JV4,"")</f>
        <v>0.4311491408052574</v>
      </c>
      <c r="JY4" s="81">
        <f>+CY4+IB4</f>
        <v>5302.2162827942038</v>
      </c>
      <c r="JZ4" s="81">
        <f>+JN4-JY4</f>
        <v>2286.0459946903666</v>
      </c>
      <c r="KA4" s="86">
        <f>IFERROR(JZ4/JY4,"")</f>
        <v>0.4311491408052574</v>
      </c>
      <c r="KB4" s="81">
        <f>+DE4+ID4</f>
        <v>5941.302636323142</v>
      </c>
      <c r="KC4" s="81">
        <f>+JN4-KB4</f>
        <v>1646.9596411614284</v>
      </c>
      <c r="KD4" s="86">
        <f>IFERROR(KC4/KB4,"")</f>
        <v>0.2772051420327365</v>
      </c>
      <c r="KE4" s="81">
        <f>+DK4+IF4</f>
        <v>6414.018520145486</v>
      </c>
      <c r="KF4" s="81">
        <f>+JN4-KE4</f>
        <v>1174.2437573390844</v>
      </c>
      <c r="KG4" s="86">
        <f>IFERROR(KF4/KE4,"")</f>
        <v>0.18307458166061696</v>
      </c>
      <c r="KH4" s="81">
        <f>+DQ4+IH4</f>
        <v>6414.018520145486</v>
      </c>
      <c r="KI4" s="81">
        <f>+JN4-KH4</f>
        <v>1174.2437573390844</v>
      </c>
      <c r="KJ4" s="86">
        <f>IFERROR(KI4/KH4,"")</f>
        <v>0.18307458166061696</v>
      </c>
      <c r="KK4" s="81">
        <f>+DW4+IJ4</f>
        <v>7012.713310901112</v>
      </c>
      <c r="KL4" s="81">
        <f>+JN4-KK4</f>
        <v>575.54896658345842</v>
      </c>
      <c r="KM4" s="86">
        <f>IFERROR(KL4/KK4,"")</f>
        <v>8.2072222414793422E-2</v>
      </c>
      <c r="KN4" s="81">
        <f>+EC4+IL4</f>
        <v>0</v>
      </c>
      <c r="KO4" s="81">
        <f>+JN4-KN4</f>
        <v>7588.2622774845704</v>
      </c>
      <c r="KP4" s="86" t="str">
        <f>IFERROR(KO4/KN4,"")</f>
        <v/>
      </c>
      <c r="KQ4" s="81">
        <f>+EI4+IN4</f>
        <v>0</v>
      </c>
      <c r="KR4" s="81">
        <f>+JN4-KQ4</f>
        <v>7588.2622774845704</v>
      </c>
      <c r="KS4" s="86" t="str">
        <f>IFERROR(KR4/KQ4,"")</f>
        <v/>
      </c>
      <c r="KT4" s="81">
        <f>+EO4+IP4</f>
        <v>0</v>
      </c>
      <c r="KU4" s="81">
        <f>+JN4-KT4</f>
        <v>7588.2622774845704</v>
      </c>
      <c r="KV4" s="86" t="str">
        <f>IFERROR(KU4/KT4,"")</f>
        <v/>
      </c>
      <c r="KW4" s="81">
        <f>+EU4+IR4</f>
        <v>0</v>
      </c>
      <c r="KX4" s="81">
        <f>+JN4-KW4</f>
        <v>7588.2622774845704</v>
      </c>
      <c r="KY4" s="86" t="str">
        <f>IFERROR(KX4/KW4,"")</f>
        <v/>
      </c>
      <c r="KZ4" s="81">
        <f>+FA4+IT4</f>
        <v>0</v>
      </c>
      <c r="LA4" s="81">
        <f>+JN4-KZ4</f>
        <v>7588.2622774845704</v>
      </c>
      <c r="LB4" s="86" t="str">
        <f>IFERROR(LA4/KZ4,"")</f>
        <v/>
      </c>
      <c r="LC4" s="81">
        <f>+FG4+IV4</f>
        <v>0</v>
      </c>
      <c r="LD4" s="81">
        <f>+JN4-LC4</f>
        <v>7588.2622774845704</v>
      </c>
      <c r="LE4" s="86" t="str">
        <f>IFERROR(LD4/LC4,"")</f>
        <v/>
      </c>
      <c r="LF4" s="81">
        <f>+FM4+IX4</f>
        <v>0</v>
      </c>
      <c r="LG4" s="81">
        <f>+JN4-LF4</f>
        <v>7588.2622774845704</v>
      </c>
      <c r="LH4" s="87" t="str">
        <f>IFERROR(LG4/LF4,"")</f>
        <v/>
      </c>
      <c r="LI4" s="82">
        <f>+FS4+IZ4</f>
        <v>0</v>
      </c>
      <c r="LJ4" s="82">
        <f>+JN4-LI4</f>
        <v>7588.2622774845704</v>
      </c>
      <c r="LK4" s="87" t="str">
        <f>IFERROR(LJ4/LI4,"")</f>
        <v/>
      </c>
      <c r="LL4" s="82">
        <f>+FY4+JB4</f>
        <v>0</v>
      </c>
      <c r="LM4" s="82">
        <f>+JN4-LL4</f>
        <v>7588.2622774845704</v>
      </c>
      <c r="LN4" s="87" t="str">
        <f>IFERROR(LM4/LL4,"")</f>
        <v/>
      </c>
      <c r="LO4" s="82">
        <f>+GE4+JD4</f>
        <v>0</v>
      </c>
      <c r="LP4" s="82">
        <f>+JN4-LO4</f>
        <v>7588.2622774845704</v>
      </c>
      <c r="LQ4" s="87" t="str">
        <f>IFERROR(LP4/LO4,"")</f>
        <v/>
      </c>
      <c r="LR4" s="82">
        <f>+GK4+JF4</f>
        <v>0</v>
      </c>
      <c r="LS4" s="82">
        <f>+JN4-LR4</f>
        <v>7588.2622774845704</v>
      </c>
      <c r="LT4" s="87" t="str">
        <f>IFERROR(LS4/LR4,"")</f>
        <v/>
      </c>
      <c r="LU4" s="82">
        <f>+GQ4+JH4</f>
        <v>0</v>
      </c>
      <c r="LV4" s="82">
        <f>+JN4-LU4</f>
        <v>7588.2622774845704</v>
      </c>
      <c r="LW4" s="87" t="str">
        <f>IFERROR(LV4/LU4,"")</f>
        <v/>
      </c>
      <c r="LX4" s="82">
        <f>+GW4+JJ4</f>
        <v>0</v>
      </c>
      <c r="LY4" s="82">
        <f>+JN4-LX4</f>
        <v>7588.2622774845704</v>
      </c>
      <c r="LZ4" s="87" t="str">
        <f>IFERROR(LY4/LX4,"")</f>
        <v/>
      </c>
      <c r="MA4" s="82">
        <f>+HC4+JL4</f>
        <v>0</v>
      </c>
      <c r="MB4" s="82">
        <f>+JN4-MA4</f>
        <v>7588.2622774845704</v>
      </c>
      <c r="MC4" s="87" t="str">
        <f>IFERROR(MB4/MA4,"")</f>
        <v/>
      </c>
      <c r="MD4" s="87"/>
      <c r="ME4" s="89">
        <f>IFERROR(MAX(IFERROR(JR4+0,-9.99E+307),IFERROR(JU4+0,-9.99E+307),IFERROR(JX4+0,-9.99E+307),IFERROR(KA4+0,-9.99E+307),IFERROR(KD4+0,-9.99E+307),IFERROR(KG4+0,-9.99E+307),IFERROR(KJ4+0,-9.99E+307),IFERROR(KM4+0,-9.99E+307),IFERROR(KP4+0,-9.99E+307),IFERROR(KS4+0,-9.99E+307),IFERROR(KV4+0,-9.99E+307),IFERROR(KY4+0,-9.99E+307),IFERROR(LB4+0,-9.99E+307),IFERROR(LE4+0,-9.99E+307),IFERROR(LH4+0,-9.99E+307),IFERROR(LK4+0,-9.99E+307),IFERROR(LN4+0,-9.99E+307),IFERROR(LQ4+0,-9.99E+307),IFERROR(LT4+0,-9.99E+307),IFERROR(LW4+0,-9.99E+307),IFERROR(LZ4+0,-9.99E+307),IFERROR(MC4+0,-9.99E+307)),"")</f>
        <v>0.47491188034793941</v>
      </c>
    </row>
    <row r="5" spans="1:343" x14ac:dyDescent="0.55000000000000004">
      <c r="A5" t="s">
        <v>608</v>
      </c>
      <c r="B5" t="s">
        <v>610</v>
      </c>
      <c r="C5" s="31">
        <v>45520</v>
      </c>
      <c r="D5" t="s">
        <v>611</v>
      </c>
      <c r="G5">
        <f>+'3_목동6'!E14</f>
        <v>90074.6</v>
      </c>
      <c r="I5" s="104">
        <f>+'3_목동6'!G17</f>
        <v>2.9986999999999999</v>
      </c>
      <c r="M5" s="105">
        <f>+'3_목동6'!N23</f>
        <v>2173</v>
      </c>
      <c r="N5">
        <f>+'3_목동6'!E17</f>
        <v>270106.70302000002</v>
      </c>
      <c r="P5" s="4">
        <f>+Q5-N5</f>
        <v>151744.79697999998</v>
      </c>
      <c r="Q5" s="105">
        <f>+'3_목동6'!E19</f>
        <v>421851.5</v>
      </c>
      <c r="R5" s="103" t="s">
        <v>13</v>
      </c>
      <c r="S5" s="11">
        <f>+'3_목동6'!E102</f>
        <v>7.3624791803523584</v>
      </c>
      <c r="T5" s="106">
        <f>+'3_목동6'!F101</f>
        <v>0.36927958527468879</v>
      </c>
      <c r="U5" s="9">
        <f>+Q5*0.3025*(S5)*(1+T5)</f>
        <v>1286474.5219999999</v>
      </c>
      <c r="V5" s="5" t="s">
        <v>13</v>
      </c>
      <c r="X5">
        <f>+'3_목동6'!E44</f>
        <v>80.150000000000006</v>
      </c>
      <c r="Y5">
        <f>+'3_목동6'!F44</f>
        <v>194</v>
      </c>
      <c r="AA5">
        <f>+'3_목동6'!E45</f>
        <v>112.45</v>
      </c>
      <c r="AB5">
        <f>+'3_목동6'!F45</f>
        <v>562</v>
      </c>
      <c r="AD5">
        <f>+'3_목동6'!E46</f>
        <v>131.44999999999999</v>
      </c>
      <c r="AE5">
        <f>+'3_목동6'!F46</f>
        <v>230</v>
      </c>
      <c r="AG5">
        <f>+'3_목동6'!E47</f>
        <v>155</v>
      </c>
      <c r="AH5">
        <f>+'3_목동6'!F47</f>
        <v>232</v>
      </c>
      <c r="AJ5">
        <f>+'3_목동6'!E48</f>
        <v>173</v>
      </c>
      <c r="AK5">
        <f>+'3_목동6'!F48</f>
        <v>100</v>
      </c>
      <c r="AM5">
        <f>+'3_목동6'!E49</f>
        <v>187.5</v>
      </c>
      <c r="AN5">
        <f>+'3_목동6'!F49</f>
        <v>37</v>
      </c>
      <c r="AP5">
        <f>+'3_목동6'!E50</f>
        <v>209</v>
      </c>
      <c r="AQ5">
        <f>+'3_목동6'!F50</f>
        <v>6</v>
      </c>
      <c r="AX5">
        <f>+'3_목동6'!E112</f>
        <v>45.031915438888987</v>
      </c>
      <c r="AY5" s="37">
        <f>+(Y5*X5+AB5*AA5+AE5*AD5+AH5*AG5+AK5*AJ5+AN5*AM5+AQ5*AP5+AT5*AS5+AW5*AV5)*AX5*0.3025</f>
        <v>2321637.4</v>
      </c>
      <c r="AZ5" s="105"/>
      <c r="BA5" s="105"/>
      <c r="BB5" s="105"/>
      <c r="BC5" s="105"/>
      <c r="BD5" s="105"/>
      <c r="BE5" s="105"/>
      <c r="BF5" s="105"/>
      <c r="BG5" s="105"/>
      <c r="BH5" s="105"/>
      <c r="JR5" s="79"/>
    </row>
    <row r="6" spans="1:343" x14ac:dyDescent="0.55000000000000004">
      <c r="AZ6" s="45" t="s">
        <v>614</v>
      </c>
    </row>
    <row r="9" spans="1:343" x14ac:dyDescent="0.55000000000000004">
      <c r="G9">
        <v>10</v>
      </c>
      <c r="M9">
        <v>10</v>
      </c>
      <c r="Q9">
        <v>10</v>
      </c>
      <c r="R9">
        <v>11</v>
      </c>
    </row>
    <row r="10" spans="1:343" ht="70.3" x14ac:dyDescent="0.55000000000000004">
      <c r="A10" s="63" t="s">
        <v>0</v>
      </c>
      <c r="B10" s="63" t="s">
        <v>2</v>
      </c>
      <c r="C10" s="63" t="s">
        <v>327</v>
      </c>
      <c r="D10" s="63" t="s">
        <v>328</v>
      </c>
      <c r="E10" s="63" t="s">
        <v>16</v>
      </c>
      <c r="F10" s="63" t="s">
        <v>609</v>
      </c>
      <c r="G10" s="63" t="s">
        <v>617</v>
      </c>
      <c r="H10" s="63" t="s">
        <v>626</v>
      </c>
      <c r="I10" s="63" t="s">
        <v>627</v>
      </c>
      <c r="J10" s="63" t="s">
        <v>628</v>
      </c>
      <c r="M10" s="63" t="s">
        <v>618</v>
      </c>
      <c r="N10" s="63" t="s">
        <v>623</v>
      </c>
      <c r="O10" s="63" t="s">
        <v>624</v>
      </c>
      <c r="P10" s="63" t="s">
        <v>625</v>
      </c>
      <c r="Q10" s="63" t="s">
        <v>619</v>
      </c>
      <c r="R10" s="63" t="s">
        <v>621</v>
      </c>
      <c r="S10" s="63" t="s">
        <v>622</v>
      </c>
      <c r="U10" s="63" t="s">
        <v>615</v>
      </c>
      <c r="V10" s="63" t="s">
        <v>616</v>
      </c>
      <c r="W10" s="63" t="s">
        <v>620</v>
      </c>
    </row>
    <row r="11" spans="1:343" x14ac:dyDescent="0.55000000000000004">
      <c r="A11" t="s">
        <v>1</v>
      </c>
      <c r="B11" t="s">
        <v>3</v>
      </c>
      <c r="C11" s="31">
        <v>45992</v>
      </c>
      <c r="D11" s="31" t="s">
        <v>329</v>
      </c>
      <c r="E11" s="61">
        <v>1414452.9500000002</v>
      </c>
      <c r="F11" s="61" t="s">
        <v>13</v>
      </c>
      <c r="G11" s="3">
        <v>21108000</v>
      </c>
      <c r="M11" s="3">
        <v>5887500</v>
      </c>
      <c r="N11">
        <f>+M11/(1+P11)</f>
        <v>4528846.153846154</v>
      </c>
      <c r="O11" s="4">
        <f>+M11-N11</f>
        <v>1358653.846153846</v>
      </c>
      <c r="P11" s="10">
        <v>0.3</v>
      </c>
      <c r="Q11" s="3">
        <v>24930400</v>
      </c>
      <c r="R11" s="3">
        <v>23069157</v>
      </c>
      <c r="S11" s="4">
        <f>+Q11-R11</f>
        <v>1861243</v>
      </c>
      <c r="U11" s="31" t="s">
        <v>53</v>
      </c>
      <c r="V11" s="3">
        <v>43</v>
      </c>
      <c r="W11" s="3">
        <v>5063</v>
      </c>
    </row>
    <row r="13" spans="1:343" x14ac:dyDescent="0.55000000000000004">
      <c r="M13" s="4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F5A2-8CF3-4895-B43D-2AB780D50EAB}">
  <dimension ref="A1:AB210"/>
  <sheetViews>
    <sheetView workbookViewId="0"/>
  </sheetViews>
  <sheetFormatPr defaultRowHeight="17.600000000000001" x14ac:dyDescent="0.55000000000000004"/>
  <cols>
    <col min="1" max="1" width="14.42578125" customWidth="1"/>
    <col min="2" max="2" width="12.42578125" bestFit="1" customWidth="1"/>
    <col min="3" max="4" width="12.42578125" customWidth="1"/>
    <col min="5" max="5" width="12.28515625" bestFit="1" customWidth="1"/>
    <col min="6" max="6" width="19.2109375" bestFit="1" customWidth="1"/>
    <col min="7" max="11" width="10.0703125" customWidth="1"/>
    <col min="12" max="12" width="10.0703125" style="14" customWidth="1"/>
    <col min="13" max="16" width="10.0703125" customWidth="1"/>
    <col min="17" max="17" width="11.0703125" bestFit="1" customWidth="1"/>
  </cols>
  <sheetData>
    <row r="1" spans="1:12" s="14" customFormat="1" x14ac:dyDescent="0.55000000000000004">
      <c r="L1" s="14" t="s">
        <v>160</v>
      </c>
    </row>
    <row r="3" spans="1:12" x14ac:dyDescent="0.55000000000000004">
      <c r="A3" t="s">
        <v>35</v>
      </c>
    </row>
    <row r="5" spans="1:12" s="15" customFormat="1" x14ac:dyDescent="0.55000000000000004">
      <c r="A5" s="15" t="s">
        <v>159</v>
      </c>
    </row>
    <row r="6" spans="1:12" s="15" customFormat="1" x14ac:dyDescent="0.55000000000000004">
      <c r="E6" s="15" t="s">
        <v>161</v>
      </c>
      <c r="F6" s="15" t="s">
        <v>162</v>
      </c>
      <c r="G6" s="15" t="s">
        <v>163</v>
      </c>
    </row>
    <row r="7" spans="1:12" s="15" customFormat="1" x14ac:dyDescent="0.55000000000000004">
      <c r="B7" s="15" t="s">
        <v>164</v>
      </c>
      <c r="E7" s="16">
        <v>21108000</v>
      </c>
      <c r="F7" s="15" t="s">
        <v>165</v>
      </c>
    </row>
    <row r="8" spans="1:12" s="15" customFormat="1" x14ac:dyDescent="0.55000000000000004">
      <c r="B8" s="15" t="s">
        <v>166</v>
      </c>
      <c r="E8" s="16">
        <v>5887500</v>
      </c>
      <c r="F8" s="15" t="s">
        <v>165</v>
      </c>
    </row>
    <row r="9" spans="1:12" s="15" customFormat="1" x14ac:dyDescent="0.55000000000000004">
      <c r="B9" s="15" t="s">
        <v>167</v>
      </c>
      <c r="E9" s="16">
        <v>24930400</v>
      </c>
      <c r="F9" s="15" t="s">
        <v>165</v>
      </c>
    </row>
    <row r="10" spans="1:12" s="15" customFormat="1" x14ac:dyDescent="0.55000000000000004">
      <c r="B10" s="15" t="s">
        <v>168</v>
      </c>
      <c r="E10" s="17">
        <f>+(E7-E8)/E9</f>
        <v>0.61051968680807367</v>
      </c>
    </row>
    <row r="12" spans="1:12" x14ac:dyDescent="0.55000000000000004">
      <c r="A12" t="s">
        <v>169</v>
      </c>
    </row>
    <row r="13" spans="1:12" x14ac:dyDescent="0.55000000000000004">
      <c r="E13" t="s">
        <v>170</v>
      </c>
      <c r="F13" t="s">
        <v>171</v>
      </c>
      <c r="G13" t="s">
        <v>163</v>
      </c>
      <c r="H13" t="s">
        <v>163</v>
      </c>
    </row>
    <row r="14" spans="1:12" x14ac:dyDescent="0.55000000000000004">
      <c r="B14" t="s">
        <v>172</v>
      </c>
      <c r="C14" t="s">
        <v>173</v>
      </c>
      <c r="D14" t="s">
        <v>8</v>
      </c>
      <c r="E14" s="1">
        <v>240446</v>
      </c>
      <c r="F14" t="s">
        <v>165</v>
      </c>
    </row>
    <row r="15" spans="1:12" x14ac:dyDescent="0.55000000000000004">
      <c r="C15" t="s">
        <v>174</v>
      </c>
      <c r="D15" t="s">
        <v>175</v>
      </c>
      <c r="E15" s="1">
        <v>28970.6</v>
      </c>
      <c r="F15" t="s">
        <v>165</v>
      </c>
    </row>
    <row r="16" spans="1:12" x14ac:dyDescent="0.55000000000000004">
      <c r="B16" t="s">
        <v>176</v>
      </c>
    </row>
    <row r="17" spans="1:16" x14ac:dyDescent="0.55000000000000004">
      <c r="B17" t="s">
        <v>177</v>
      </c>
      <c r="C17" t="s">
        <v>173</v>
      </c>
      <c r="D17" t="s">
        <v>8</v>
      </c>
      <c r="E17" s="3">
        <f>+E14*G17</f>
        <v>721313.95539999998</v>
      </c>
      <c r="F17" t="s">
        <v>178</v>
      </c>
      <c r="G17" s="2">
        <v>2.9998999999999998</v>
      </c>
      <c r="H17" t="s">
        <v>179</v>
      </c>
      <c r="I17" s="5" t="s">
        <v>180</v>
      </c>
    </row>
    <row r="18" spans="1:16" x14ac:dyDescent="0.55000000000000004">
      <c r="C18" t="s">
        <v>174</v>
      </c>
      <c r="D18" t="s">
        <v>175</v>
      </c>
      <c r="E18" s="3">
        <f>+E15*G18</f>
        <v>126569.65433999999</v>
      </c>
      <c r="F18" t="s">
        <v>178</v>
      </c>
      <c r="G18" s="2">
        <v>4.3689</v>
      </c>
      <c r="H18" t="s">
        <v>179</v>
      </c>
      <c r="I18" s="5" t="s">
        <v>180</v>
      </c>
    </row>
    <row r="19" spans="1:16" x14ac:dyDescent="0.55000000000000004">
      <c r="B19" t="s">
        <v>181</v>
      </c>
      <c r="E19">
        <f>+G19*50</f>
        <v>545900</v>
      </c>
      <c r="G19" s="1">
        <v>10918</v>
      </c>
      <c r="H19" s="5" t="s">
        <v>182</v>
      </c>
      <c r="N19" s="3">
        <v>555246.46</v>
      </c>
      <c r="O19" t="s">
        <v>183</v>
      </c>
    </row>
    <row r="20" spans="1:16" x14ac:dyDescent="0.55000000000000004">
      <c r="B20" t="s">
        <v>184</v>
      </c>
      <c r="E20" s="4">
        <f>+SUM(E17:E19)</f>
        <v>1393783.60974</v>
      </c>
      <c r="G20" s="1"/>
      <c r="H20" s="5" t="s">
        <v>185</v>
      </c>
      <c r="N20" s="3">
        <v>1414452.9500000002</v>
      </c>
      <c r="O20" t="s">
        <v>183</v>
      </c>
      <c r="P20" s="18">
        <f>+E20/N20</f>
        <v>0.98538704291295076</v>
      </c>
    </row>
    <row r="21" spans="1:16" x14ac:dyDescent="0.55000000000000004">
      <c r="G21" s="1"/>
      <c r="N21" s="3"/>
    </row>
    <row r="23" spans="1:16" s="14" customFormat="1" x14ac:dyDescent="0.55000000000000004"/>
    <row r="25" spans="1:16" x14ac:dyDescent="0.55000000000000004">
      <c r="A25" t="s">
        <v>186</v>
      </c>
      <c r="B25" t="s">
        <v>38</v>
      </c>
    </row>
    <row r="26" spans="1:16" x14ac:dyDescent="0.55000000000000004">
      <c r="E26" t="s">
        <v>170</v>
      </c>
      <c r="F26" t="s">
        <v>171</v>
      </c>
      <c r="G26" t="s">
        <v>163</v>
      </c>
    </row>
    <row r="27" spans="1:16" x14ac:dyDescent="0.55000000000000004">
      <c r="B27" s="3" t="s">
        <v>187</v>
      </c>
      <c r="E27" s="1">
        <v>5175</v>
      </c>
      <c r="F27" t="s">
        <v>165</v>
      </c>
    </row>
    <row r="28" spans="1:16" x14ac:dyDescent="0.55000000000000004">
      <c r="B28" s="3" t="s">
        <v>188</v>
      </c>
      <c r="E28" s="1">
        <v>641</v>
      </c>
      <c r="F28" t="s">
        <v>165</v>
      </c>
    </row>
    <row r="29" spans="1:16" x14ac:dyDescent="0.55000000000000004">
      <c r="B29" s="3" t="s">
        <v>189</v>
      </c>
      <c r="E29" s="1">
        <v>3934</v>
      </c>
      <c r="F29" t="s">
        <v>165</v>
      </c>
    </row>
    <row r="30" spans="1:16" x14ac:dyDescent="0.55000000000000004">
      <c r="B30" s="3" t="s">
        <v>190</v>
      </c>
      <c r="E30">
        <f>+E27-E28-E29</f>
        <v>600</v>
      </c>
    </row>
    <row r="31" spans="1:16" x14ac:dyDescent="0.55000000000000004">
      <c r="B31" s="3"/>
    </row>
    <row r="32" spans="1:16" s="14" customFormat="1" x14ac:dyDescent="0.55000000000000004">
      <c r="B32" s="19"/>
    </row>
    <row r="33" spans="1:10" x14ac:dyDescent="0.55000000000000004">
      <c r="B33" s="3"/>
    </row>
    <row r="34" spans="1:10" x14ac:dyDescent="0.55000000000000004">
      <c r="A34" t="s">
        <v>186</v>
      </c>
      <c r="B34" s="3" t="s">
        <v>191</v>
      </c>
    </row>
    <row r="35" spans="1:10" x14ac:dyDescent="0.55000000000000004">
      <c r="B35" s="3"/>
    </row>
    <row r="36" spans="1:10" x14ac:dyDescent="0.55000000000000004">
      <c r="B36" s="3"/>
      <c r="G36" t="s">
        <v>192</v>
      </c>
      <c r="H36" t="s">
        <v>193</v>
      </c>
      <c r="I36" t="s">
        <v>194</v>
      </c>
    </row>
    <row r="37" spans="1:10" x14ac:dyDescent="0.55000000000000004">
      <c r="B37" s="3" t="s">
        <v>187</v>
      </c>
      <c r="C37" t="s">
        <v>195</v>
      </c>
      <c r="E37" t="s">
        <v>196</v>
      </c>
      <c r="F37">
        <f>+E29</f>
        <v>3934</v>
      </c>
      <c r="G37">
        <v>0</v>
      </c>
      <c r="H37">
        <f>+F37-I37</f>
        <v>408</v>
      </c>
      <c r="I37">
        <f>+I39</f>
        <v>3526</v>
      </c>
      <c r="J37" s="5" t="s">
        <v>197</v>
      </c>
    </row>
    <row r="38" spans="1:10" x14ac:dyDescent="0.55000000000000004">
      <c r="B38" s="3"/>
      <c r="E38" t="s">
        <v>198</v>
      </c>
      <c r="F38">
        <f>+F39-F37</f>
        <v>600</v>
      </c>
      <c r="G38" s="14">
        <f>+G39</f>
        <v>522</v>
      </c>
      <c r="H38" s="14">
        <f>+F38-G38</f>
        <v>78</v>
      </c>
      <c r="I38">
        <v>0</v>
      </c>
      <c r="J38" s="5" t="s">
        <v>199</v>
      </c>
    </row>
    <row r="39" spans="1:10" x14ac:dyDescent="0.55000000000000004">
      <c r="B39" s="3"/>
      <c r="E39" t="s">
        <v>200</v>
      </c>
      <c r="F39" s="1">
        <v>4534</v>
      </c>
      <c r="G39" s="1">
        <v>522</v>
      </c>
      <c r="H39" s="1">
        <v>486</v>
      </c>
      <c r="I39">
        <f>+F39-G39-H39</f>
        <v>3526</v>
      </c>
    </row>
    <row r="40" spans="1:10" x14ac:dyDescent="0.55000000000000004">
      <c r="B40" s="3"/>
      <c r="C40" t="s">
        <v>201</v>
      </c>
      <c r="F40" s="1">
        <v>641</v>
      </c>
      <c r="G40" s="1">
        <v>511</v>
      </c>
      <c r="H40" s="1">
        <v>130</v>
      </c>
      <c r="I40">
        <v>0</v>
      </c>
    </row>
    <row r="41" spans="1:10" x14ac:dyDescent="0.55000000000000004">
      <c r="B41" s="3"/>
      <c r="F41" s="1">
        <f>+SUM(F39:F40)</f>
        <v>5175</v>
      </c>
      <c r="G41">
        <f>+G39+G40</f>
        <v>1033</v>
      </c>
      <c r="H41">
        <f>+H39+H40</f>
        <v>616</v>
      </c>
      <c r="I41">
        <f>+I39+I40</f>
        <v>3526</v>
      </c>
    </row>
    <row r="43" spans="1:10" x14ac:dyDescent="0.55000000000000004">
      <c r="B43" t="s">
        <v>202</v>
      </c>
    </row>
    <row r="45" spans="1:10" x14ac:dyDescent="0.55000000000000004">
      <c r="C45" t="s">
        <v>203</v>
      </c>
    </row>
    <row r="46" spans="1:10" x14ac:dyDescent="0.55000000000000004">
      <c r="D46" t="s">
        <v>204</v>
      </c>
      <c r="E46" s="4">
        <f>+E20</f>
        <v>1393783.60974</v>
      </c>
    </row>
    <row r="47" spans="1:10" x14ac:dyDescent="0.55000000000000004">
      <c r="D47" t="s">
        <v>205</v>
      </c>
      <c r="E47" s="9">
        <v>93154.08</v>
      </c>
    </row>
    <row r="48" spans="1:10" x14ac:dyDescent="0.55000000000000004">
      <c r="D48" t="s">
        <v>203</v>
      </c>
      <c r="E48" s="4">
        <f>+E46-E47</f>
        <v>1300629.5297399999</v>
      </c>
      <c r="F48" s="5" t="s">
        <v>206</v>
      </c>
    </row>
    <row r="49" spans="1:23" x14ac:dyDescent="0.55000000000000004">
      <c r="D49" t="s">
        <v>207</v>
      </c>
      <c r="E49" s="4">
        <f>+E48*SUM(E17:E18)/E20</f>
        <v>791214.97261408158</v>
      </c>
      <c r="F49" s="5" t="s">
        <v>208</v>
      </c>
      <c r="N49">
        <v>827826.15999999992</v>
      </c>
      <c r="O49" t="s">
        <v>183</v>
      </c>
      <c r="P49">
        <f>+E49/N49</f>
        <v>0.9557743048541516</v>
      </c>
    </row>
    <row r="50" spans="1:23" x14ac:dyDescent="0.55000000000000004">
      <c r="D50" t="s">
        <v>209</v>
      </c>
      <c r="E50" s="4">
        <f>+E48-E49</f>
        <v>509414.55712591833</v>
      </c>
      <c r="F50" s="5" t="s">
        <v>208</v>
      </c>
    </row>
    <row r="51" spans="1:23" x14ac:dyDescent="0.55000000000000004">
      <c r="E51" s="4"/>
    </row>
    <row r="53" spans="1:23" x14ac:dyDescent="0.55000000000000004">
      <c r="B53" t="s">
        <v>210</v>
      </c>
      <c r="E53" t="s">
        <v>38</v>
      </c>
      <c r="F53" t="s">
        <v>211</v>
      </c>
      <c r="G53" t="s">
        <v>212</v>
      </c>
    </row>
    <row r="54" spans="1:23" x14ac:dyDescent="0.55000000000000004">
      <c r="B54">
        <v>59</v>
      </c>
      <c r="C54" t="s">
        <v>192</v>
      </c>
      <c r="E54" s="3">
        <f>+G41</f>
        <v>1033</v>
      </c>
      <c r="F54" s="3">
        <f>+F55*B54/B55</f>
        <v>80.071428571428569</v>
      </c>
      <c r="G54" s="11">
        <f>+E54*F54</f>
        <v>82713.78571428571</v>
      </c>
      <c r="H54" s="5" t="s">
        <v>213</v>
      </c>
    </row>
    <row r="55" spans="1:23" x14ac:dyDescent="0.55000000000000004">
      <c r="B55">
        <v>84</v>
      </c>
      <c r="C55" t="s">
        <v>193</v>
      </c>
      <c r="E55" s="3">
        <f>+H41</f>
        <v>616</v>
      </c>
      <c r="F55" s="3">
        <v>114</v>
      </c>
      <c r="G55" s="11">
        <f>+E55*F55</f>
        <v>70224</v>
      </c>
      <c r="H55" s="5" t="s">
        <v>214</v>
      </c>
    </row>
    <row r="56" spans="1:23" x14ac:dyDescent="0.55000000000000004">
      <c r="E56" s="20"/>
      <c r="F56" s="20"/>
      <c r="G56" s="11"/>
      <c r="L56"/>
    </row>
    <row r="57" spans="1:23" x14ac:dyDescent="0.55000000000000004">
      <c r="A57" s="21" t="s">
        <v>215</v>
      </c>
      <c r="B57" s="11">
        <f>+F57*B55/F55</f>
        <v>133.38329725941344</v>
      </c>
      <c r="C57" t="s">
        <v>194</v>
      </c>
      <c r="D57" t="s">
        <v>216</v>
      </c>
      <c r="E57" s="3">
        <f>+I41</f>
        <v>3526</v>
      </c>
      <c r="F57" s="3">
        <f>+G57/E57</f>
        <v>181.02018913777536</v>
      </c>
      <c r="G57" s="11">
        <f>+E49-G54-G55</f>
        <v>638277.1868997959</v>
      </c>
      <c r="H57" s="21" t="s">
        <v>217</v>
      </c>
      <c r="I57" s="21" t="s">
        <v>218</v>
      </c>
      <c r="K57" t="s">
        <v>219</v>
      </c>
    </row>
    <row r="58" spans="1:23" x14ac:dyDescent="0.55000000000000004">
      <c r="E58" s="3"/>
      <c r="F58" s="3"/>
      <c r="G58">
        <f>+SUM(G54:G57)/W63</f>
        <v>0.9557743048541516</v>
      </c>
    </row>
    <row r="59" spans="1:23" x14ac:dyDescent="0.55000000000000004">
      <c r="A59" s="21" t="s">
        <v>220</v>
      </c>
      <c r="B59">
        <f>+B55*F59/F55</f>
        <v>139.27252369326806</v>
      </c>
      <c r="C59" t="s">
        <v>194</v>
      </c>
      <c r="D59" t="s">
        <v>221</v>
      </c>
      <c r="E59" s="3">
        <f>+E57</f>
        <v>3526</v>
      </c>
      <c r="F59" s="3">
        <f>+G59/E59</f>
        <v>189.01271072657806</v>
      </c>
      <c r="G59" s="11">
        <f>+E48*0.63-G54-G55</f>
        <v>666458.81802191422</v>
      </c>
      <c r="H59" s="21" t="s">
        <v>217</v>
      </c>
      <c r="I59" s="21" t="s">
        <v>222</v>
      </c>
      <c r="K59" t="s">
        <v>223</v>
      </c>
    </row>
    <row r="60" spans="1:23" x14ac:dyDescent="0.55000000000000004">
      <c r="F60" s="3"/>
      <c r="G60">
        <f>+(G54+G55+G59)/W63</f>
        <v>0.98981723860502302</v>
      </c>
    </row>
    <row r="61" spans="1:23" x14ac:dyDescent="0.55000000000000004">
      <c r="A61" s="5" t="s">
        <v>224</v>
      </c>
      <c r="B61" s="11">
        <f>+K77</f>
        <v>143.1838814208258</v>
      </c>
      <c r="C61" t="s">
        <v>194</v>
      </c>
      <c r="D61" t="s">
        <v>225</v>
      </c>
      <c r="E61" s="4">
        <f>+E59</f>
        <v>3526</v>
      </c>
      <c r="F61" s="3">
        <f>+L77</f>
        <v>194.32098192826359</v>
      </c>
      <c r="G61">
        <f>+L77*M67</f>
        <v>685175.78227905743</v>
      </c>
      <c r="H61" s="5" t="s">
        <v>217</v>
      </c>
      <c r="I61" s="5" t="s">
        <v>226</v>
      </c>
      <c r="K61" s="5" t="s">
        <v>227</v>
      </c>
      <c r="U61" t="s">
        <v>228</v>
      </c>
      <c r="W61">
        <v>716430.83</v>
      </c>
    </row>
    <row r="62" spans="1:23" x14ac:dyDescent="0.55000000000000004">
      <c r="F62" s="3"/>
      <c r="G62">
        <f>+(G61+G54+G55)/W63</f>
        <v>1.0124270148618439</v>
      </c>
      <c r="W62">
        <v>111395.33</v>
      </c>
    </row>
    <row r="63" spans="1:23" x14ac:dyDescent="0.55000000000000004">
      <c r="I63" t="s">
        <v>229</v>
      </c>
      <c r="W63">
        <f>+SUM(W61:W62)</f>
        <v>827826.15999999992</v>
      </c>
    </row>
    <row r="64" spans="1:23" x14ac:dyDescent="0.55000000000000004">
      <c r="J64" t="s">
        <v>230</v>
      </c>
      <c r="K64" t="s">
        <v>210</v>
      </c>
      <c r="L64" t="s">
        <v>195</v>
      </c>
      <c r="M64" t="s">
        <v>38</v>
      </c>
      <c r="N64" t="s">
        <v>231</v>
      </c>
      <c r="O64" t="s">
        <v>232</v>
      </c>
      <c r="P64" t="s">
        <v>233</v>
      </c>
      <c r="R64" s="3">
        <f>+SUM(R65:R73)</f>
        <v>838113.56799334299</v>
      </c>
    </row>
    <row r="65" spans="9:19" x14ac:dyDescent="0.55000000000000004">
      <c r="I65" t="s">
        <v>196</v>
      </c>
      <c r="J65" t="s">
        <v>192</v>
      </c>
      <c r="K65" s="6">
        <f>+G126</f>
        <v>59</v>
      </c>
      <c r="L65" s="6">
        <f>+H126</f>
        <v>80.071428571428569</v>
      </c>
      <c r="M65" s="22">
        <f>+F126</f>
        <v>0</v>
      </c>
      <c r="N65" s="1">
        <v>83</v>
      </c>
      <c r="O65" s="11">
        <f>+N65*0.3025*L65</f>
        <v>2010.3933928571428</v>
      </c>
      <c r="P65">
        <f t="shared" ref="P65:P70" si="0">+O65*M65</f>
        <v>0</v>
      </c>
      <c r="R65" s="3">
        <f t="shared" ref="R65:R70" si="1">+L65*M65</f>
        <v>0</v>
      </c>
    </row>
    <row r="66" spans="9:19" x14ac:dyDescent="0.55000000000000004">
      <c r="J66" t="s">
        <v>193</v>
      </c>
      <c r="K66" s="6">
        <f t="shared" ref="K66:L73" si="2">+G127</f>
        <v>84</v>
      </c>
      <c r="L66" s="6">
        <f t="shared" si="2"/>
        <v>114</v>
      </c>
      <c r="M66" s="22">
        <f t="shared" ref="M66:M73" si="3">+F127</f>
        <v>408</v>
      </c>
      <c r="N66" s="1">
        <v>83</v>
      </c>
      <c r="O66" s="11">
        <f>+N66*0.3025*L66</f>
        <v>2862.2549999999997</v>
      </c>
      <c r="P66">
        <f t="shared" si="0"/>
        <v>1167800.0399999998</v>
      </c>
      <c r="R66" s="3">
        <f t="shared" si="1"/>
        <v>46512</v>
      </c>
    </row>
    <row r="67" spans="9:19" x14ac:dyDescent="0.55000000000000004">
      <c r="J67" t="s">
        <v>194</v>
      </c>
      <c r="K67" s="6">
        <f t="shared" si="2"/>
        <v>143.1838814208258</v>
      </c>
      <c r="L67" s="6">
        <f>+L66*K67/K66</f>
        <v>194.32098192826356</v>
      </c>
      <c r="M67" s="22">
        <f t="shared" si="3"/>
        <v>3526</v>
      </c>
      <c r="N67" s="1">
        <v>83</v>
      </c>
      <c r="P67">
        <f t="shared" si="0"/>
        <v>0</v>
      </c>
      <c r="R67" s="3">
        <f t="shared" si="1"/>
        <v>685175.78227905731</v>
      </c>
    </row>
    <row r="68" spans="9:19" x14ac:dyDescent="0.55000000000000004">
      <c r="I68" t="s">
        <v>198</v>
      </c>
      <c r="J68" t="s">
        <v>192</v>
      </c>
      <c r="K68" s="6">
        <f t="shared" si="2"/>
        <v>59</v>
      </c>
      <c r="L68" s="6">
        <f t="shared" si="2"/>
        <v>80.071428571428569</v>
      </c>
      <c r="M68" s="22">
        <f t="shared" si="3"/>
        <v>522</v>
      </c>
      <c r="N68" s="1">
        <v>85</v>
      </c>
      <c r="O68" s="11">
        <f>+N68*0.3025*L68</f>
        <v>2058.8366071428568</v>
      </c>
      <c r="P68">
        <f t="shared" si="0"/>
        <v>1074712.7089285713</v>
      </c>
      <c r="R68" s="3">
        <f t="shared" si="1"/>
        <v>41797.28571428571</v>
      </c>
    </row>
    <row r="69" spans="9:19" x14ac:dyDescent="0.55000000000000004">
      <c r="J69" t="s">
        <v>193</v>
      </c>
      <c r="K69" s="6">
        <f t="shared" si="2"/>
        <v>84</v>
      </c>
      <c r="L69" s="6">
        <f t="shared" si="2"/>
        <v>114</v>
      </c>
      <c r="M69" s="22">
        <f t="shared" si="3"/>
        <v>78</v>
      </c>
      <c r="N69" s="1">
        <v>85</v>
      </c>
      <c r="O69" s="11">
        <f>+N69*0.3025*L69</f>
        <v>2931.2249999999999</v>
      </c>
      <c r="P69">
        <f t="shared" si="0"/>
        <v>228635.55</v>
      </c>
      <c r="R69" s="3">
        <f t="shared" si="1"/>
        <v>8892</v>
      </c>
    </row>
    <row r="70" spans="9:19" x14ac:dyDescent="0.55000000000000004">
      <c r="J70" t="s">
        <v>194</v>
      </c>
      <c r="K70" s="6">
        <f t="shared" si="2"/>
        <v>143.1838814208258</v>
      </c>
      <c r="L70" s="6">
        <f>+L69*K70/K69</f>
        <v>194.32098192826356</v>
      </c>
      <c r="M70" s="22">
        <f t="shared" si="3"/>
        <v>0</v>
      </c>
      <c r="N70" s="1">
        <v>85</v>
      </c>
      <c r="P70">
        <f t="shared" si="0"/>
        <v>0</v>
      </c>
      <c r="R70" s="3">
        <f t="shared" si="1"/>
        <v>0</v>
      </c>
    </row>
    <row r="71" spans="9:19" x14ac:dyDescent="0.55000000000000004">
      <c r="K71" s="6"/>
      <c r="L71" s="6"/>
      <c r="M71" s="22"/>
      <c r="R71" s="3"/>
    </row>
    <row r="72" spans="9:19" x14ac:dyDescent="0.55000000000000004">
      <c r="I72" t="s">
        <v>201</v>
      </c>
      <c r="J72" t="s">
        <v>192</v>
      </c>
      <c r="K72" s="6">
        <f t="shared" si="2"/>
        <v>59</v>
      </c>
      <c r="L72" s="6">
        <f t="shared" si="2"/>
        <v>80.071428571428569</v>
      </c>
      <c r="M72" s="22">
        <f t="shared" si="3"/>
        <v>511</v>
      </c>
      <c r="N72">
        <v>6</v>
      </c>
      <c r="O72" s="11">
        <f>+N72*0.3025*L72</f>
        <v>145.32964285714286</v>
      </c>
      <c r="P72">
        <f>+O72*M72</f>
        <v>74263.447499999995</v>
      </c>
      <c r="R72" s="3">
        <f>+L72*M72</f>
        <v>40916.5</v>
      </c>
    </row>
    <row r="73" spans="9:19" x14ac:dyDescent="0.55000000000000004">
      <c r="J73" t="s">
        <v>193</v>
      </c>
      <c r="K73" s="6">
        <f t="shared" si="2"/>
        <v>84</v>
      </c>
      <c r="L73" s="6">
        <f t="shared" si="2"/>
        <v>114</v>
      </c>
      <c r="M73" s="22">
        <f t="shared" si="3"/>
        <v>130</v>
      </c>
      <c r="N73">
        <v>6</v>
      </c>
      <c r="O73" s="11">
        <f>+N73*0.3025*L73</f>
        <v>206.91</v>
      </c>
      <c r="P73">
        <f>+O73*M73</f>
        <v>26898.3</v>
      </c>
      <c r="R73" s="3">
        <f>+L73*M73</f>
        <v>14820</v>
      </c>
    </row>
    <row r="74" spans="9:19" x14ac:dyDescent="0.55000000000000004">
      <c r="J74" t="s">
        <v>194</v>
      </c>
    </row>
    <row r="75" spans="9:19" x14ac:dyDescent="0.55000000000000004">
      <c r="P75" s="3">
        <f>+SUM(P65:P74)</f>
        <v>2572310.0464285705</v>
      </c>
      <c r="Q75" t="s">
        <v>234</v>
      </c>
      <c r="S75" t="s">
        <v>235</v>
      </c>
    </row>
    <row r="76" spans="9:19" x14ac:dyDescent="0.55000000000000004">
      <c r="P76" s="9">
        <f>+K137</f>
        <v>1332639</v>
      </c>
      <c r="S76" t="s">
        <v>236</v>
      </c>
    </row>
    <row r="77" spans="9:19" x14ac:dyDescent="0.55000000000000004">
      <c r="K77" s="11">
        <f>+K73*L77/L73</f>
        <v>143.1838814208258</v>
      </c>
      <c r="L77" s="14">
        <f>+O77/(N77*0.3025)</f>
        <v>194.32098192826359</v>
      </c>
      <c r="N77">
        <f>+N67</f>
        <v>83</v>
      </c>
      <c r="O77" s="3">
        <f>+P77/M67</f>
        <v>4878.9140537638777</v>
      </c>
      <c r="P77" s="3">
        <f>+P78-P75-P76</f>
        <v>17203050.953571431</v>
      </c>
      <c r="Q77" t="s">
        <v>237</v>
      </c>
      <c r="S77" t="s">
        <v>194</v>
      </c>
    </row>
    <row r="78" spans="9:19" x14ac:dyDescent="0.55000000000000004">
      <c r="P78" s="9">
        <f>+E7</f>
        <v>21108000</v>
      </c>
      <c r="S78" t="s">
        <v>238</v>
      </c>
    </row>
    <row r="87" spans="1:8" s="14" customFormat="1" x14ac:dyDescent="0.55000000000000004">
      <c r="A87" s="14" t="s">
        <v>239</v>
      </c>
    </row>
    <row r="89" spans="1:8" x14ac:dyDescent="0.55000000000000004">
      <c r="B89" t="s">
        <v>240</v>
      </c>
    </row>
    <row r="90" spans="1:8" x14ac:dyDescent="0.55000000000000004">
      <c r="B90" t="s">
        <v>34</v>
      </c>
      <c r="C90" t="s">
        <v>241</v>
      </c>
      <c r="D90" t="s">
        <v>241</v>
      </c>
      <c r="E90" t="s">
        <v>38</v>
      </c>
      <c r="F90" t="s">
        <v>242</v>
      </c>
      <c r="G90" t="s">
        <v>243</v>
      </c>
      <c r="H90" t="s">
        <v>244</v>
      </c>
    </row>
    <row r="91" spans="1:8" x14ac:dyDescent="0.55000000000000004">
      <c r="A91">
        <v>1</v>
      </c>
      <c r="C91" t="s">
        <v>53</v>
      </c>
      <c r="D91">
        <v>43</v>
      </c>
      <c r="E91">
        <v>216</v>
      </c>
      <c r="F91" s="9">
        <v>5063</v>
      </c>
      <c r="G91" s="3">
        <f>+F91*E91</f>
        <v>1093608</v>
      </c>
    </row>
    <row r="92" spans="1:8" x14ac:dyDescent="0.55000000000000004">
      <c r="A92">
        <v>2</v>
      </c>
      <c r="C92" t="s">
        <v>53</v>
      </c>
      <c r="D92">
        <v>53</v>
      </c>
      <c r="E92">
        <v>180</v>
      </c>
      <c r="F92" s="9">
        <v>7088</v>
      </c>
      <c r="G92" s="3">
        <f t="shared" ref="G92:G112" si="4">+F92*E92</f>
        <v>1275840</v>
      </c>
    </row>
    <row r="93" spans="1:8" x14ac:dyDescent="0.55000000000000004">
      <c r="A93">
        <v>3</v>
      </c>
      <c r="C93" t="s">
        <v>53</v>
      </c>
      <c r="D93">
        <v>54</v>
      </c>
      <c r="E93">
        <v>264</v>
      </c>
      <c r="F93" s="9">
        <v>6928</v>
      </c>
      <c r="G93" s="3">
        <f t="shared" si="4"/>
        <v>1828992</v>
      </c>
    </row>
    <row r="94" spans="1:8" x14ac:dyDescent="0.55000000000000004">
      <c r="A94">
        <v>4</v>
      </c>
      <c r="C94" t="s">
        <v>53</v>
      </c>
      <c r="D94">
        <v>65</v>
      </c>
      <c r="E94">
        <v>300</v>
      </c>
      <c r="F94" s="9">
        <v>8328</v>
      </c>
      <c r="G94" s="3">
        <f t="shared" si="4"/>
        <v>2498400</v>
      </c>
    </row>
    <row r="95" spans="1:8" x14ac:dyDescent="0.55000000000000004">
      <c r="A95">
        <v>5</v>
      </c>
      <c r="C95" t="s">
        <v>138</v>
      </c>
      <c r="D95">
        <v>33</v>
      </c>
      <c r="E95">
        <v>432</v>
      </c>
      <c r="F95" s="9">
        <v>4091</v>
      </c>
      <c r="G95" s="3">
        <f t="shared" si="4"/>
        <v>1767312</v>
      </c>
    </row>
    <row r="96" spans="1:8" x14ac:dyDescent="0.55000000000000004">
      <c r="A96">
        <v>6</v>
      </c>
      <c r="C96" t="s">
        <v>139</v>
      </c>
      <c r="D96">
        <v>44</v>
      </c>
      <c r="E96">
        <v>170</v>
      </c>
      <c r="F96" s="9">
        <v>5989</v>
      </c>
      <c r="G96" s="3">
        <f t="shared" si="4"/>
        <v>1018130</v>
      </c>
    </row>
    <row r="97" spans="1:7" x14ac:dyDescent="0.55000000000000004">
      <c r="A97">
        <v>7</v>
      </c>
      <c r="C97" t="s">
        <v>140</v>
      </c>
      <c r="D97">
        <v>35</v>
      </c>
      <c r="E97">
        <v>224</v>
      </c>
      <c r="F97" s="9">
        <v>4259</v>
      </c>
      <c r="G97" s="3">
        <f t="shared" si="4"/>
        <v>954016</v>
      </c>
    </row>
    <row r="98" spans="1:7" x14ac:dyDescent="0.55000000000000004">
      <c r="A98">
        <v>8</v>
      </c>
      <c r="C98" t="s">
        <v>141</v>
      </c>
      <c r="D98">
        <v>48</v>
      </c>
      <c r="E98">
        <v>560</v>
      </c>
      <c r="F98" s="9">
        <v>5798</v>
      </c>
      <c r="G98" s="3">
        <f t="shared" si="4"/>
        <v>3246880</v>
      </c>
    </row>
    <row r="99" spans="1:7" x14ac:dyDescent="0.55000000000000004">
      <c r="A99">
        <v>9</v>
      </c>
      <c r="C99" t="s">
        <v>141</v>
      </c>
      <c r="D99">
        <v>53</v>
      </c>
      <c r="E99">
        <v>420</v>
      </c>
      <c r="F99" s="9">
        <v>6373</v>
      </c>
      <c r="G99" s="3">
        <f t="shared" si="4"/>
        <v>2676660</v>
      </c>
    </row>
    <row r="100" spans="1:7" x14ac:dyDescent="0.55000000000000004">
      <c r="A100">
        <v>10</v>
      </c>
      <c r="C100" t="s">
        <v>141</v>
      </c>
      <c r="D100">
        <v>65</v>
      </c>
      <c r="E100">
        <v>252</v>
      </c>
      <c r="F100" s="9">
        <v>7979</v>
      </c>
      <c r="G100" s="3">
        <f t="shared" si="4"/>
        <v>2010708</v>
      </c>
    </row>
    <row r="101" spans="1:7" x14ac:dyDescent="0.55000000000000004">
      <c r="A101">
        <v>11</v>
      </c>
      <c r="C101" t="s">
        <v>141</v>
      </c>
      <c r="D101">
        <v>80</v>
      </c>
      <c r="E101">
        <v>56</v>
      </c>
      <c r="F101" s="9">
        <v>9995</v>
      </c>
      <c r="G101" s="3">
        <f t="shared" si="4"/>
        <v>559720</v>
      </c>
    </row>
    <row r="102" spans="1:7" x14ac:dyDescent="0.55000000000000004">
      <c r="A102">
        <v>12</v>
      </c>
      <c r="C102" t="s">
        <v>142</v>
      </c>
      <c r="D102">
        <v>36</v>
      </c>
      <c r="E102">
        <v>96</v>
      </c>
      <c r="F102" s="9">
        <v>4337</v>
      </c>
      <c r="G102" s="3">
        <f t="shared" si="4"/>
        <v>416352</v>
      </c>
    </row>
    <row r="103" spans="1:7" x14ac:dyDescent="0.55000000000000004">
      <c r="A103">
        <v>13</v>
      </c>
      <c r="C103" t="s">
        <v>142</v>
      </c>
      <c r="D103">
        <v>50</v>
      </c>
      <c r="E103">
        <v>48</v>
      </c>
      <c r="F103" s="9">
        <v>6145</v>
      </c>
      <c r="G103" s="3">
        <f t="shared" si="4"/>
        <v>294960</v>
      </c>
    </row>
    <row r="104" spans="1:7" x14ac:dyDescent="0.55000000000000004">
      <c r="A104">
        <v>14</v>
      </c>
      <c r="C104" t="s">
        <v>143</v>
      </c>
      <c r="D104" t="s">
        <v>144</v>
      </c>
      <c r="E104">
        <v>104</v>
      </c>
      <c r="F104" s="9">
        <v>4660</v>
      </c>
      <c r="G104" s="3">
        <f t="shared" si="4"/>
        <v>484640</v>
      </c>
    </row>
    <row r="105" spans="1:7" x14ac:dyDescent="0.55000000000000004">
      <c r="A105">
        <v>15</v>
      </c>
      <c r="C105" t="s">
        <v>143</v>
      </c>
      <c r="D105" t="s">
        <v>145</v>
      </c>
      <c r="E105">
        <v>130</v>
      </c>
      <c r="F105" s="9">
        <v>4660</v>
      </c>
      <c r="G105" s="3">
        <f t="shared" si="4"/>
        <v>605800</v>
      </c>
    </row>
    <row r="106" spans="1:7" x14ac:dyDescent="0.55000000000000004">
      <c r="A106">
        <v>16</v>
      </c>
      <c r="C106" t="s">
        <v>146</v>
      </c>
      <c r="D106">
        <v>32</v>
      </c>
      <c r="E106">
        <v>388</v>
      </c>
      <c r="F106" s="9">
        <v>4348</v>
      </c>
      <c r="G106" s="3">
        <f t="shared" si="4"/>
        <v>1687024</v>
      </c>
    </row>
    <row r="107" spans="1:7" x14ac:dyDescent="0.55000000000000004">
      <c r="A107">
        <v>17</v>
      </c>
      <c r="C107" t="s">
        <v>147</v>
      </c>
      <c r="D107">
        <v>81</v>
      </c>
      <c r="E107">
        <v>4</v>
      </c>
      <c r="F107" s="9">
        <v>6467</v>
      </c>
      <c r="G107" s="3">
        <f t="shared" si="4"/>
        <v>25868</v>
      </c>
    </row>
    <row r="108" spans="1:7" x14ac:dyDescent="0.55000000000000004">
      <c r="A108">
        <v>18</v>
      </c>
      <c r="C108" t="s">
        <v>147</v>
      </c>
      <c r="D108">
        <v>85</v>
      </c>
      <c r="E108">
        <v>52</v>
      </c>
      <c r="F108" s="9">
        <v>7449</v>
      </c>
      <c r="G108" s="3">
        <f t="shared" si="4"/>
        <v>387348</v>
      </c>
    </row>
    <row r="109" spans="1:7" x14ac:dyDescent="0.55000000000000004">
      <c r="A109">
        <v>19</v>
      </c>
      <c r="C109" t="s">
        <v>148</v>
      </c>
      <c r="D109">
        <v>75</v>
      </c>
      <c r="E109">
        <v>17</v>
      </c>
      <c r="F109" s="9">
        <v>5499</v>
      </c>
      <c r="G109" s="3">
        <f t="shared" si="4"/>
        <v>93483</v>
      </c>
    </row>
    <row r="110" spans="1:7" x14ac:dyDescent="0.55000000000000004">
      <c r="A110">
        <v>20</v>
      </c>
      <c r="C110" t="s">
        <v>148</v>
      </c>
      <c r="D110">
        <v>93</v>
      </c>
      <c r="E110">
        <v>2</v>
      </c>
      <c r="F110" s="9">
        <v>6602</v>
      </c>
      <c r="G110" s="3">
        <f t="shared" si="4"/>
        <v>13204</v>
      </c>
    </row>
    <row r="111" spans="1:7" x14ac:dyDescent="0.55000000000000004">
      <c r="A111">
        <v>21</v>
      </c>
      <c r="C111" t="s">
        <v>149</v>
      </c>
      <c r="D111">
        <v>73</v>
      </c>
      <c r="E111">
        <v>17</v>
      </c>
      <c r="F111" s="9">
        <v>5490</v>
      </c>
      <c r="G111" s="3">
        <f t="shared" si="4"/>
        <v>93330</v>
      </c>
    </row>
    <row r="112" spans="1:7" x14ac:dyDescent="0.55000000000000004">
      <c r="A112">
        <v>22</v>
      </c>
      <c r="C112" t="s">
        <v>149</v>
      </c>
      <c r="D112">
        <v>87</v>
      </c>
      <c r="E112">
        <v>2</v>
      </c>
      <c r="F112" s="9">
        <v>6403</v>
      </c>
      <c r="G112" s="3">
        <f t="shared" si="4"/>
        <v>12806</v>
      </c>
    </row>
    <row r="113" spans="1:11" x14ac:dyDescent="0.55000000000000004">
      <c r="E113">
        <f>+SUM(E91:E112)</f>
        <v>3934</v>
      </c>
      <c r="F113" s="3"/>
      <c r="G113" s="3">
        <f>+SUM(G91:G112)</f>
        <v>23045081</v>
      </c>
      <c r="H113" s="3">
        <v>23039157</v>
      </c>
    </row>
    <row r="114" spans="1:11" x14ac:dyDescent="0.55000000000000004">
      <c r="A114">
        <v>24</v>
      </c>
      <c r="C114" t="s">
        <v>245</v>
      </c>
      <c r="G114" s="23">
        <v>1891257</v>
      </c>
      <c r="H114" s="4">
        <f>+G115-H113</f>
        <v>1897181</v>
      </c>
    </row>
    <row r="115" spans="1:11" x14ac:dyDescent="0.55000000000000004">
      <c r="A115">
        <v>25</v>
      </c>
      <c r="C115" t="s">
        <v>246</v>
      </c>
      <c r="G115" s="24">
        <f>+G113+G114</f>
        <v>24936338</v>
      </c>
    </row>
    <row r="117" spans="1:11" x14ac:dyDescent="0.55000000000000004">
      <c r="B117" t="s">
        <v>247</v>
      </c>
    </row>
    <row r="118" spans="1:11" x14ac:dyDescent="0.55000000000000004">
      <c r="D118" t="s">
        <v>248</v>
      </c>
      <c r="E118" t="s">
        <v>154</v>
      </c>
      <c r="F118" t="s">
        <v>155</v>
      </c>
      <c r="G118" t="s">
        <v>247</v>
      </c>
    </row>
    <row r="119" spans="1:11" x14ac:dyDescent="0.55000000000000004">
      <c r="D119" s="4">
        <f>+N20</f>
        <v>1414452.9500000002</v>
      </c>
      <c r="E119" s="3">
        <f>+G119/1.3</f>
        <v>4528846.153846154</v>
      </c>
      <c r="F119" s="3">
        <f>+E119*0.3</f>
        <v>1358653.8461538462</v>
      </c>
      <c r="G119" s="9">
        <v>5887500</v>
      </c>
      <c r="H119" s="5" t="s">
        <v>249</v>
      </c>
    </row>
    <row r="120" spans="1:11" x14ac:dyDescent="0.55000000000000004">
      <c r="E120" t="s">
        <v>250</v>
      </c>
    </row>
    <row r="121" spans="1:11" x14ac:dyDescent="0.55000000000000004">
      <c r="E121" s="25">
        <f>+E119/(D119*0.3025)</f>
        <v>10.584581299872516</v>
      </c>
    </row>
    <row r="123" spans="1:11" x14ac:dyDescent="0.55000000000000004">
      <c r="B123" t="s">
        <v>251</v>
      </c>
    </row>
    <row r="125" spans="1:11" x14ac:dyDescent="0.55000000000000004">
      <c r="B125" s="3"/>
      <c r="E125" t="s">
        <v>230</v>
      </c>
      <c r="F125" t="s">
        <v>38</v>
      </c>
      <c r="G125" t="s">
        <v>210</v>
      </c>
      <c r="H125" t="s">
        <v>195</v>
      </c>
      <c r="I125" t="s">
        <v>232</v>
      </c>
      <c r="J125" t="s">
        <v>250</v>
      </c>
      <c r="K125" t="s">
        <v>252</v>
      </c>
    </row>
    <row r="126" spans="1:11" x14ac:dyDescent="0.55000000000000004">
      <c r="B126" s="3" t="s">
        <v>187</v>
      </c>
      <c r="C126" t="s">
        <v>195</v>
      </c>
      <c r="D126" t="s">
        <v>196</v>
      </c>
      <c r="E126" t="s">
        <v>192</v>
      </c>
      <c r="F126" s="22">
        <f>+G37</f>
        <v>0</v>
      </c>
      <c r="G126" s="6">
        <f>+B54</f>
        <v>59</v>
      </c>
      <c r="H126" s="6">
        <f>+F54</f>
        <v>80.071428571428569</v>
      </c>
      <c r="I126" s="26">
        <f t="shared" ref="I126:I131" si="5">+J126*H126*0.3025</f>
        <v>2010.3933928571428</v>
      </c>
      <c r="J126" s="27">
        <v>83</v>
      </c>
      <c r="K126" s="3">
        <f t="shared" ref="K126:K131" si="6">+I126*F126</f>
        <v>0</v>
      </c>
    </row>
    <row r="127" spans="1:11" x14ac:dyDescent="0.55000000000000004">
      <c r="B127" s="3"/>
      <c r="E127" t="s">
        <v>193</v>
      </c>
      <c r="F127" s="22">
        <f>+H37</f>
        <v>408</v>
      </c>
      <c r="G127" s="6">
        <f>+B55</f>
        <v>84</v>
      </c>
      <c r="H127" s="6">
        <f>+F55</f>
        <v>114</v>
      </c>
      <c r="I127" s="26">
        <f t="shared" si="5"/>
        <v>2862.2550000000001</v>
      </c>
      <c r="J127" s="27">
        <v>83</v>
      </c>
      <c r="K127" s="3">
        <f t="shared" si="6"/>
        <v>1167800.04</v>
      </c>
    </row>
    <row r="128" spans="1:11" x14ac:dyDescent="0.55000000000000004">
      <c r="B128" s="3"/>
      <c r="E128" t="s">
        <v>194</v>
      </c>
      <c r="F128" s="22">
        <f>+I37</f>
        <v>3526</v>
      </c>
      <c r="G128" s="6">
        <f>+B61</f>
        <v>143.1838814208258</v>
      </c>
      <c r="H128" s="6">
        <f>+F61</f>
        <v>194.32098192826359</v>
      </c>
      <c r="I128" s="26">
        <f t="shared" si="5"/>
        <v>4878.9140537638777</v>
      </c>
      <c r="J128" s="27">
        <v>83</v>
      </c>
      <c r="K128" s="3">
        <f t="shared" si="6"/>
        <v>17203050.953571431</v>
      </c>
    </row>
    <row r="129" spans="1:16" x14ac:dyDescent="0.55000000000000004">
      <c r="B129" s="3"/>
      <c r="D129" t="s">
        <v>198</v>
      </c>
      <c r="E129" t="s">
        <v>192</v>
      </c>
      <c r="F129" s="22">
        <f>+G38</f>
        <v>522</v>
      </c>
      <c r="G129" s="28">
        <f t="shared" ref="G129:H131" si="7">+G126</f>
        <v>59</v>
      </c>
      <c r="H129" s="28">
        <f t="shared" si="7"/>
        <v>80.071428571428569</v>
      </c>
      <c r="I129" s="26">
        <f t="shared" si="5"/>
        <v>2058.8366071428572</v>
      </c>
      <c r="J129" s="29">
        <v>85</v>
      </c>
      <c r="K129" s="3">
        <f t="shared" si="6"/>
        <v>1074712.7089285715</v>
      </c>
    </row>
    <row r="130" spans="1:16" x14ac:dyDescent="0.55000000000000004">
      <c r="B130" s="3"/>
      <c r="E130" t="s">
        <v>193</v>
      </c>
      <c r="F130" s="22">
        <f>+H38</f>
        <v>78</v>
      </c>
      <c r="G130" s="28">
        <f t="shared" si="7"/>
        <v>84</v>
      </c>
      <c r="H130" s="28">
        <f t="shared" si="7"/>
        <v>114</v>
      </c>
      <c r="I130" s="26">
        <f t="shared" si="5"/>
        <v>2931.2249999999999</v>
      </c>
      <c r="J130" s="29">
        <v>85</v>
      </c>
      <c r="K130" s="3">
        <f t="shared" si="6"/>
        <v>228635.55</v>
      </c>
    </row>
    <row r="131" spans="1:16" x14ac:dyDescent="0.55000000000000004">
      <c r="B131" s="3"/>
      <c r="E131" t="s">
        <v>194</v>
      </c>
      <c r="F131" s="22">
        <f>+I38</f>
        <v>0</v>
      </c>
      <c r="G131" s="28">
        <f t="shared" si="7"/>
        <v>143.1838814208258</v>
      </c>
      <c r="H131" s="28">
        <f t="shared" si="7"/>
        <v>194.32098192826359</v>
      </c>
      <c r="I131" s="26">
        <f t="shared" si="5"/>
        <v>4996.4782478304769</v>
      </c>
      <c r="J131" s="29">
        <v>85</v>
      </c>
      <c r="K131" s="3">
        <f t="shared" si="6"/>
        <v>0</v>
      </c>
    </row>
    <row r="132" spans="1:16" x14ac:dyDescent="0.55000000000000004">
      <c r="B132" s="3"/>
      <c r="F132" s="1"/>
      <c r="K132" s="3"/>
    </row>
    <row r="133" spans="1:16" x14ac:dyDescent="0.55000000000000004">
      <c r="B133" s="3"/>
      <c r="C133" t="s">
        <v>201</v>
      </c>
      <c r="E133" t="s">
        <v>192</v>
      </c>
      <c r="F133" s="1">
        <f>+G40</f>
        <v>511</v>
      </c>
      <c r="G133" s="30">
        <f>+G126</f>
        <v>59</v>
      </c>
      <c r="H133" s="30">
        <f>+H126</f>
        <v>80.071428571428569</v>
      </c>
      <c r="I133" s="11">
        <f>+J133*H133*0.3025</f>
        <v>145.32964285714286</v>
      </c>
      <c r="J133">
        <v>6</v>
      </c>
      <c r="K133" s="3">
        <f>+I133*F133</f>
        <v>74263.447499999995</v>
      </c>
    </row>
    <row r="134" spans="1:16" x14ac:dyDescent="0.55000000000000004">
      <c r="B134" s="3"/>
      <c r="E134" t="s">
        <v>193</v>
      </c>
      <c r="F134" s="1">
        <f>+H40</f>
        <v>130</v>
      </c>
      <c r="G134" s="30">
        <f>+G127</f>
        <v>84</v>
      </c>
      <c r="H134" s="30">
        <f>+H127</f>
        <v>114</v>
      </c>
      <c r="I134" s="11">
        <f>+J134*H134*0.3025</f>
        <v>206.91</v>
      </c>
      <c r="J134">
        <v>6</v>
      </c>
      <c r="K134" s="3">
        <f>+I134*F134</f>
        <v>26898.3</v>
      </c>
    </row>
    <row r="135" spans="1:16" x14ac:dyDescent="0.55000000000000004">
      <c r="E135" t="s">
        <v>194</v>
      </c>
      <c r="K135" s="3"/>
    </row>
    <row r="136" spans="1:16" x14ac:dyDescent="0.55000000000000004">
      <c r="J136" t="s">
        <v>235</v>
      </c>
      <c r="K136" s="3">
        <f>+SUM(K126:K135)</f>
        <v>19775361.000000004</v>
      </c>
    </row>
    <row r="137" spans="1:16" x14ac:dyDescent="0.55000000000000004">
      <c r="J137" t="s">
        <v>253</v>
      </c>
      <c r="K137" s="3">
        <v>1332639</v>
      </c>
    </row>
    <row r="138" spans="1:16" x14ac:dyDescent="0.55000000000000004">
      <c r="J138" t="s">
        <v>43</v>
      </c>
      <c r="K138" s="3">
        <f>+K136+K137</f>
        <v>21108000.000000004</v>
      </c>
      <c r="N138">
        <v>21108000</v>
      </c>
      <c r="P138" s="12">
        <f>+K138/N138</f>
        <v>1.0000000000000002</v>
      </c>
    </row>
    <row r="139" spans="1:16" x14ac:dyDescent="0.55000000000000004">
      <c r="B139" t="s">
        <v>159</v>
      </c>
    </row>
    <row r="140" spans="1:16" x14ac:dyDescent="0.55000000000000004">
      <c r="C140" t="s">
        <v>251</v>
      </c>
      <c r="D140" t="s">
        <v>247</v>
      </c>
      <c r="E140" t="s">
        <v>34</v>
      </c>
      <c r="F140" t="s">
        <v>159</v>
      </c>
    </row>
    <row r="141" spans="1:16" x14ac:dyDescent="0.55000000000000004">
      <c r="C141">
        <f>+K138</f>
        <v>21108000.000000004</v>
      </c>
      <c r="D141" s="4">
        <f>+G119</f>
        <v>5887500</v>
      </c>
      <c r="E141" s="4">
        <f>+G115</f>
        <v>24936338</v>
      </c>
      <c r="F141" s="13">
        <f>+(C141-D141)/E141</f>
        <v>0.61037430596264797</v>
      </c>
    </row>
    <row r="143" spans="1:16" s="14" customFormat="1" x14ac:dyDescent="0.55000000000000004">
      <c r="A143" s="14" t="s">
        <v>254</v>
      </c>
    </row>
    <row r="144" spans="1:16" x14ac:dyDescent="0.55000000000000004">
      <c r="A144" s="5"/>
    </row>
    <row r="145" spans="1:11" x14ac:dyDescent="0.55000000000000004">
      <c r="A145" s="5"/>
      <c r="B145" t="s">
        <v>255</v>
      </c>
      <c r="E145" t="s">
        <v>256</v>
      </c>
      <c r="F145" t="s">
        <v>241</v>
      </c>
    </row>
    <row r="146" spans="1:11" x14ac:dyDescent="0.55000000000000004">
      <c r="A146" s="5"/>
      <c r="C146" t="s">
        <v>257</v>
      </c>
      <c r="E146" s="8">
        <v>83</v>
      </c>
      <c r="F146" t="s">
        <v>258</v>
      </c>
    </row>
    <row r="147" spans="1:11" x14ac:dyDescent="0.55000000000000004">
      <c r="A147" s="5"/>
      <c r="C147" t="s">
        <v>259</v>
      </c>
      <c r="E147" s="8">
        <v>85</v>
      </c>
      <c r="F147" t="s">
        <v>258</v>
      </c>
    </row>
    <row r="148" spans="1:11" x14ac:dyDescent="0.55000000000000004">
      <c r="A148" s="5"/>
      <c r="C148" t="s">
        <v>154</v>
      </c>
      <c r="E148" s="8">
        <v>10.58</v>
      </c>
      <c r="F148" t="s">
        <v>260</v>
      </c>
    </row>
    <row r="149" spans="1:11" x14ac:dyDescent="0.55000000000000004">
      <c r="A149" s="5"/>
    </row>
    <row r="150" spans="1:11" s="14" customFormat="1" x14ac:dyDescent="0.55000000000000004">
      <c r="A150" s="14" t="s">
        <v>261</v>
      </c>
    </row>
    <row r="151" spans="1:11" x14ac:dyDescent="0.55000000000000004">
      <c r="A151" s="5"/>
    </row>
    <row r="152" spans="1:11" x14ac:dyDescent="0.55000000000000004">
      <c r="A152" s="5"/>
      <c r="B152" t="s">
        <v>251</v>
      </c>
    </row>
    <row r="153" spans="1:11" x14ac:dyDescent="0.55000000000000004">
      <c r="A153" s="5"/>
      <c r="B153" s="3"/>
      <c r="E153" t="s">
        <v>230</v>
      </c>
      <c r="F153" t="s">
        <v>38</v>
      </c>
      <c r="G153" t="s">
        <v>210</v>
      </c>
      <c r="H153" t="s">
        <v>195</v>
      </c>
      <c r="I153" t="s">
        <v>232</v>
      </c>
      <c r="J153" t="s">
        <v>250</v>
      </c>
      <c r="K153" t="s">
        <v>252</v>
      </c>
    </row>
    <row r="154" spans="1:11" x14ac:dyDescent="0.55000000000000004">
      <c r="A154" s="5"/>
      <c r="B154" s="3" t="s">
        <v>187</v>
      </c>
      <c r="C154" t="s">
        <v>195</v>
      </c>
      <c r="D154" t="s">
        <v>196</v>
      </c>
      <c r="E154" t="s">
        <v>192</v>
      </c>
      <c r="F154" s="22">
        <f>+F126</f>
        <v>0</v>
      </c>
      <c r="G154" s="6">
        <f>+G126</f>
        <v>59</v>
      </c>
      <c r="H154" s="6">
        <f>+H126*1</f>
        <v>80.071428571428569</v>
      </c>
      <c r="I154" s="26">
        <f t="shared" ref="I154:I159" si="8">+J154*H154*0.3025</f>
        <v>2010.3933928571428</v>
      </c>
      <c r="J154" s="27">
        <f>+E146</f>
        <v>83</v>
      </c>
      <c r="K154" s="3">
        <f t="shared" ref="K154:K159" si="9">+I154*F154</f>
        <v>0</v>
      </c>
    </row>
    <row r="155" spans="1:11" x14ac:dyDescent="0.55000000000000004">
      <c r="A155" s="5"/>
      <c r="B155" s="3"/>
      <c r="E155" t="s">
        <v>193</v>
      </c>
      <c r="F155" s="22">
        <f t="shared" ref="F155:G163" si="10">+F127</f>
        <v>408</v>
      </c>
      <c r="G155" s="6">
        <f t="shared" si="10"/>
        <v>84</v>
      </c>
      <c r="H155" s="6">
        <f t="shared" ref="H155:H162" si="11">+H127*1</f>
        <v>114</v>
      </c>
      <c r="I155" s="26">
        <f t="shared" si="8"/>
        <v>2862.2550000000001</v>
      </c>
      <c r="J155" s="6">
        <f>+J154</f>
        <v>83</v>
      </c>
      <c r="K155" s="3">
        <f t="shared" si="9"/>
        <v>1167800.04</v>
      </c>
    </row>
    <row r="156" spans="1:11" x14ac:dyDescent="0.55000000000000004">
      <c r="A156" s="5"/>
      <c r="B156" s="3"/>
      <c r="E156" t="s">
        <v>194</v>
      </c>
      <c r="F156" s="22">
        <f t="shared" si="10"/>
        <v>3526</v>
      </c>
      <c r="G156" s="6">
        <f t="shared" si="10"/>
        <v>143.1838814208258</v>
      </c>
      <c r="H156" s="6">
        <f t="shared" si="11"/>
        <v>194.32098192826359</v>
      </c>
      <c r="I156" s="26">
        <f t="shared" si="8"/>
        <v>4878.9140537638777</v>
      </c>
      <c r="J156" s="6">
        <f>+J155</f>
        <v>83</v>
      </c>
      <c r="K156" s="3">
        <f t="shared" si="9"/>
        <v>17203050.953571431</v>
      </c>
    </row>
    <row r="157" spans="1:11" x14ac:dyDescent="0.55000000000000004">
      <c r="A157" s="5"/>
      <c r="B157" s="3"/>
      <c r="D157" t="s">
        <v>198</v>
      </c>
      <c r="E157" t="s">
        <v>192</v>
      </c>
      <c r="F157" s="22">
        <f t="shared" si="10"/>
        <v>522</v>
      </c>
      <c r="G157" s="6">
        <f t="shared" si="10"/>
        <v>59</v>
      </c>
      <c r="H157" s="6">
        <f t="shared" si="11"/>
        <v>80.071428571428569</v>
      </c>
      <c r="I157" s="26">
        <f t="shared" si="8"/>
        <v>2058.8366071428572</v>
      </c>
      <c r="J157" s="27">
        <f>+E147</f>
        <v>85</v>
      </c>
      <c r="K157" s="3">
        <f t="shared" si="9"/>
        <v>1074712.7089285715</v>
      </c>
    </row>
    <row r="158" spans="1:11" x14ac:dyDescent="0.55000000000000004">
      <c r="A158" s="5"/>
      <c r="B158" s="3"/>
      <c r="E158" t="s">
        <v>193</v>
      </c>
      <c r="F158" s="22">
        <f t="shared" si="10"/>
        <v>78</v>
      </c>
      <c r="G158" s="6">
        <f t="shared" si="10"/>
        <v>84</v>
      </c>
      <c r="H158" s="6">
        <f t="shared" si="11"/>
        <v>114</v>
      </c>
      <c r="I158" s="26">
        <f t="shared" si="8"/>
        <v>2931.2249999999999</v>
      </c>
      <c r="J158" s="6">
        <f>+J157</f>
        <v>85</v>
      </c>
      <c r="K158" s="3">
        <f t="shared" si="9"/>
        <v>228635.55</v>
      </c>
    </row>
    <row r="159" spans="1:11" x14ac:dyDescent="0.55000000000000004">
      <c r="A159" s="5"/>
      <c r="B159" s="3"/>
      <c r="E159" t="s">
        <v>194</v>
      </c>
      <c r="F159" s="22">
        <f t="shared" si="10"/>
        <v>0</v>
      </c>
      <c r="G159" s="6">
        <f t="shared" si="10"/>
        <v>143.1838814208258</v>
      </c>
      <c r="H159" s="6">
        <f t="shared" si="11"/>
        <v>194.32098192826359</v>
      </c>
      <c r="I159" s="26">
        <f t="shared" si="8"/>
        <v>4996.4782478304769</v>
      </c>
      <c r="J159" s="6">
        <f>+J158</f>
        <v>85</v>
      </c>
      <c r="K159" s="3">
        <f t="shared" si="9"/>
        <v>0</v>
      </c>
    </row>
    <row r="160" spans="1:11" x14ac:dyDescent="0.55000000000000004">
      <c r="A160" s="5"/>
      <c r="B160" s="3"/>
      <c r="F160" s="22">
        <f t="shared" si="10"/>
        <v>0</v>
      </c>
      <c r="G160" s="6">
        <f t="shared" si="10"/>
        <v>0</v>
      </c>
      <c r="H160" s="6">
        <f t="shared" si="11"/>
        <v>0</v>
      </c>
      <c r="K160" s="3"/>
    </row>
    <row r="161" spans="1:16" x14ac:dyDescent="0.55000000000000004">
      <c r="A161" s="5"/>
      <c r="B161" s="3"/>
      <c r="C161" t="s">
        <v>201</v>
      </c>
      <c r="E161" t="s">
        <v>192</v>
      </c>
      <c r="F161" s="22">
        <f t="shared" si="10"/>
        <v>511</v>
      </c>
      <c r="G161" s="6">
        <f t="shared" si="10"/>
        <v>59</v>
      </c>
      <c r="H161" s="6">
        <f t="shared" si="11"/>
        <v>80.071428571428569</v>
      </c>
      <c r="I161" s="11">
        <f>+J161*H161*0.3025</f>
        <v>145.32964285714286</v>
      </c>
      <c r="J161">
        <v>6</v>
      </c>
      <c r="K161" s="3">
        <f>+I161*F161</f>
        <v>74263.447499999995</v>
      </c>
      <c r="L161" s="14" t="s">
        <v>262</v>
      </c>
    </row>
    <row r="162" spans="1:16" x14ac:dyDescent="0.55000000000000004">
      <c r="A162" s="5"/>
      <c r="B162" s="3"/>
      <c r="E162" t="s">
        <v>193</v>
      </c>
      <c r="F162" s="22">
        <f t="shared" si="10"/>
        <v>130</v>
      </c>
      <c r="G162" s="6">
        <f t="shared" si="10"/>
        <v>84</v>
      </c>
      <c r="H162" s="6">
        <f t="shared" si="11"/>
        <v>114</v>
      </c>
      <c r="I162" s="11">
        <f>+J162*H162*0.3025</f>
        <v>206.91</v>
      </c>
      <c r="J162">
        <v>6</v>
      </c>
      <c r="K162" s="3">
        <f>+I162*F162</f>
        <v>26898.3</v>
      </c>
      <c r="L162" s="14" t="s">
        <v>262</v>
      </c>
    </row>
    <row r="163" spans="1:16" x14ac:dyDescent="0.55000000000000004">
      <c r="A163" s="5"/>
      <c r="E163" t="s">
        <v>194</v>
      </c>
      <c r="F163" s="22">
        <f t="shared" si="10"/>
        <v>0</v>
      </c>
      <c r="G163" s="6">
        <f>+G159</f>
        <v>143.1838814208258</v>
      </c>
      <c r="H163" s="6">
        <f>+H159</f>
        <v>194.32098192826359</v>
      </c>
      <c r="K163" s="3"/>
    </row>
    <row r="164" spans="1:16" x14ac:dyDescent="0.55000000000000004">
      <c r="A164" s="5"/>
      <c r="J164" t="s">
        <v>235</v>
      </c>
      <c r="K164" s="3">
        <f>+SUM(K154:K163)</f>
        <v>19775361.000000004</v>
      </c>
    </row>
    <row r="165" spans="1:16" x14ac:dyDescent="0.55000000000000004">
      <c r="A165" s="5"/>
      <c r="J165" t="s">
        <v>253</v>
      </c>
      <c r="K165" s="3">
        <v>1332639</v>
      </c>
      <c r="L165" s="14" t="s">
        <v>262</v>
      </c>
    </row>
    <row r="166" spans="1:16" x14ac:dyDescent="0.55000000000000004">
      <c r="A166" s="5"/>
      <c r="J166" t="s">
        <v>43</v>
      </c>
      <c r="K166" s="3">
        <f>+K164+K165</f>
        <v>21108000.000000004</v>
      </c>
      <c r="N166">
        <v>21108000</v>
      </c>
      <c r="P166" s="12">
        <f>+K166/N166</f>
        <v>1.0000000000000002</v>
      </c>
    </row>
    <row r="167" spans="1:16" x14ac:dyDescent="0.55000000000000004">
      <c r="A167" s="5"/>
    </row>
    <row r="168" spans="1:16" x14ac:dyDescent="0.55000000000000004">
      <c r="A168" s="5"/>
      <c r="B168" t="s">
        <v>247</v>
      </c>
    </row>
    <row r="169" spans="1:16" x14ac:dyDescent="0.55000000000000004">
      <c r="A169" s="5"/>
      <c r="C169" t="s">
        <v>154</v>
      </c>
      <c r="D169" t="s">
        <v>248</v>
      </c>
      <c r="E169" t="s">
        <v>154</v>
      </c>
      <c r="F169" t="s">
        <v>155</v>
      </c>
      <c r="G169" t="s">
        <v>247</v>
      </c>
    </row>
    <row r="170" spans="1:16" x14ac:dyDescent="0.55000000000000004">
      <c r="A170" s="5"/>
      <c r="C170" s="8">
        <f>+E148</f>
        <v>10.58</v>
      </c>
      <c r="D170">
        <f>+D119*1</f>
        <v>1414452.9500000002</v>
      </c>
      <c r="E170" s="3">
        <f>+C170*D170*0.3025</f>
        <v>4526885.9438275006</v>
      </c>
      <c r="F170" s="3">
        <f>+E170*0.3</f>
        <v>1358065.7831482501</v>
      </c>
      <c r="G170" s="3">
        <f>+E170+F170</f>
        <v>5884951.7269757502</v>
      </c>
    </row>
    <row r="171" spans="1:16" x14ac:dyDescent="0.55000000000000004">
      <c r="A171" s="5"/>
    </row>
    <row r="172" spans="1:16" x14ac:dyDescent="0.55000000000000004">
      <c r="A172" s="5"/>
      <c r="B172" t="s">
        <v>159</v>
      </c>
    </row>
    <row r="173" spans="1:16" x14ac:dyDescent="0.55000000000000004">
      <c r="A173" s="5"/>
      <c r="C173" t="s">
        <v>251</v>
      </c>
      <c r="D173" t="s">
        <v>247</v>
      </c>
      <c r="E173" t="s">
        <v>34</v>
      </c>
      <c r="F173" t="s">
        <v>159</v>
      </c>
    </row>
    <row r="174" spans="1:16" x14ac:dyDescent="0.55000000000000004">
      <c r="A174" s="5"/>
      <c r="C174" s="4">
        <f>+K166</f>
        <v>21108000.000000004</v>
      </c>
      <c r="D174" s="4">
        <f>+G170</f>
        <v>5884951.7269757502</v>
      </c>
      <c r="E174" s="4">
        <f>+G115</f>
        <v>24936338</v>
      </c>
      <c r="F174" s="13">
        <f>+(C174-D174)/E174</f>
        <v>0.61047649711133423</v>
      </c>
    </row>
    <row r="175" spans="1:16" x14ac:dyDescent="0.55000000000000004">
      <c r="A175" s="5"/>
    </row>
    <row r="176" spans="1:16" x14ac:dyDescent="0.55000000000000004">
      <c r="A176" s="5"/>
    </row>
    <row r="177" spans="1:28" s="14" customFormat="1" x14ac:dyDescent="0.55000000000000004">
      <c r="B177" s="14" t="s">
        <v>263</v>
      </c>
    </row>
    <row r="179" spans="1:28" x14ac:dyDescent="0.55000000000000004">
      <c r="L179" s="1" t="s">
        <v>264</v>
      </c>
      <c r="X179" s="1" t="s">
        <v>264</v>
      </c>
    </row>
    <row r="180" spans="1:28" x14ac:dyDescent="0.55000000000000004">
      <c r="R180" s="31" t="s">
        <v>265</v>
      </c>
      <c r="X180" t="s">
        <v>266</v>
      </c>
    </row>
    <row r="181" spans="1:28" x14ac:dyDescent="0.55000000000000004">
      <c r="K181" t="s">
        <v>251</v>
      </c>
      <c r="L181" s="14" t="s">
        <v>251</v>
      </c>
      <c r="M181" t="s">
        <v>251</v>
      </c>
      <c r="O181" t="s">
        <v>267</v>
      </c>
      <c r="R181" t="s">
        <v>268</v>
      </c>
      <c r="X181" t="s">
        <v>268</v>
      </c>
      <c r="Y181" t="s">
        <v>269</v>
      </c>
    </row>
    <row r="182" spans="1:28" x14ac:dyDescent="0.55000000000000004">
      <c r="K182" s="30">
        <f>+G126</f>
        <v>59</v>
      </c>
      <c r="L182" s="32">
        <f>+G127</f>
        <v>84</v>
      </c>
      <c r="M182" s="30">
        <f>+G128</f>
        <v>143.1838814208258</v>
      </c>
    </row>
    <row r="183" spans="1:28" x14ac:dyDescent="0.55000000000000004">
      <c r="B183" t="s">
        <v>34</v>
      </c>
      <c r="C183" t="s">
        <v>241</v>
      </c>
      <c r="D183" t="s">
        <v>241</v>
      </c>
      <c r="E183" t="s">
        <v>38</v>
      </c>
      <c r="F183" t="s">
        <v>242</v>
      </c>
      <c r="G183" t="s">
        <v>243</v>
      </c>
      <c r="H183" t="s">
        <v>244</v>
      </c>
      <c r="I183" t="s">
        <v>270</v>
      </c>
      <c r="L183" s="33">
        <f>+I155</f>
        <v>2862.2550000000001</v>
      </c>
      <c r="Q183" t="s">
        <v>271</v>
      </c>
      <c r="R183" t="s">
        <v>268</v>
      </c>
      <c r="T183" t="s">
        <v>272</v>
      </c>
      <c r="V183" t="s">
        <v>273</v>
      </c>
      <c r="W183" t="s">
        <v>274</v>
      </c>
      <c r="X183" t="s">
        <v>275</v>
      </c>
      <c r="Y183" t="s">
        <v>276</v>
      </c>
      <c r="Z183" t="s">
        <v>250</v>
      </c>
      <c r="AA183" t="s">
        <v>277</v>
      </c>
      <c r="AB183" t="s">
        <v>278</v>
      </c>
    </row>
    <row r="184" spans="1:28" x14ac:dyDescent="0.55000000000000004">
      <c r="A184">
        <v>1</v>
      </c>
      <c r="C184" t="s">
        <v>53</v>
      </c>
      <c r="D184">
        <v>43</v>
      </c>
      <c r="E184" s="1">
        <v>216</v>
      </c>
      <c r="F184" s="9">
        <v>5063</v>
      </c>
      <c r="G184" s="3">
        <f>+F184*E184</f>
        <v>1093608</v>
      </c>
      <c r="I184" s="9">
        <f>+F184*$F$174</f>
        <v>3090.8425048746853</v>
      </c>
      <c r="O184" s="3">
        <f t="shared" ref="O184:O205" si="12">+$L$183-I184</f>
        <v>-228.58750487468524</v>
      </c>
      <c r="Q184" s="34">
        <v>131.47999999999999</v>
      </c>
      <c r="R184" s="9">
        <f>+VLOOKUP(Q184,[1]Sheet2!$F$5:$V$43,17,FALSE)</f>
        <v>6683.5</v>
      </c>
      <c r="T184" s="4">
        <f>+R184+O184</f>
        <v>6454.9124951253143</v>
      </c>
      <c r="V184" s="4">
        <f>+$AB$184-T184</f>
        <v>1172.9611966181337</v>
      </c>
      <c r="W184" s="36">
        <f t="shared" ref="W184:W187" si="13">+V184/T184</f>
        <v>0.18171604921119261</v>
      </c>
      <c r="X184" s="1">
        <v>6800</v>
      </c>
      <c r="Y184" s="1">
        <v>111.79</v>
      </c>
      <c r="Z184">
        <f>+X184/(Y184*0.3025)</f>
        <v>201.08541768472318</v>
      </c>
      <c r="AA184" s="3">
        <f>+Z184*1.1</f>
        <v>221.19395945319553</v>
      </c>
      <c r="AB184">
        <f>+AA184*114*0.3025</f>
        <v>7627.873691743448</v>
      </c>
    </row>
    <row r="185" spans="1:28" x14ac:dyDescent="0.55000000000000004">
      <c r="A185">
        <v>2</v>
      </c>
      <c r="C185" t="str">
        <f>+C184</f>
        <v>1,2차</v>
      </c>
      <c r="D185">
        <v>53</v>
      </c>
      <c r="E185" s="1">
        <v>180</v>
      </c>
      <c r="F185" s="9">
        <v>7088</v>
      </c>
      <c r="G185" s="3">
        <f t="shared" ref="G185:G205" si="14">+F185*E185</f>
        <v>1275840</v>
      </c>
      <c r="I185" s="9">
        <f t="shared" ref="I185:I205" si="15">+F185*$F$174</f>
        <v>4327.0574115251366</v>
      </c>
      <c r="O185" s="3">
        <f t="shared" si="12"/>
        <v>-1464.8024115251364</v>
      </c>
      <c r="Q185" s="34">
        <v>161.19</v>
      </c>
      <c r="R185" s="9">
        <f>+VLOOKUP(Q185,[1]Sheet2!$F$5:$V$43,17,FALSE)</f>
        <v>8616.5</v>
      </c>
      <c r="T185" s="4">
        <f t="shared" ref="T185:T205" si="16">+R185+O185</f>
        <v>7151.6975884748636</v>
      </c>
      <c r="V185" s="4">
        <f t="shared" ref="V185:V205" si="17">+$AB$184-T185</f>
        <v>476.17610326858448</v>
      </c>
      <c r="W185" s="36">
        <f t="shared" si="13"/>
        <v>6.6582248113504411E-2</v>
      </c>
    </row>
    <row r="186" spans="1:28" x14ac:dyDescent="0.55000000000000004">
      <c r="A186">
        <v>3</v>
      </c>
      <c r="C186" t="str">
        <f>+C185</f>
        <v>1,2차</v>
      </c>
      <c r="D186">
        <v>54</v>
      </c>
      <c r="E186" s="1">
        <v>264</v>
      </c>
      <c r="F186" s="9">
        <v>6928</v>
      </c>
      <c r="G186" s="3">
        <f t="shared" si="14"/>
        <v>1828992</v>
      </c>
      <c r="I186" s="9">
        <f t="shared" si="15"/>
        <v>4229.3811719873238</v>
      </c>
      <c r="O186" s="3">
        <f t="shared" si="12"/>
        <v>-1367.1261719873237</v>
      </c>
      <c r="Q186" s="34">
        <v>172.94</v>
      </c>
      <c r="R186" s="9">
        <f>+VLOOKUP(Q186,[1]Sheet2!$F$5:$V$43,17,FALSE)</f>
        <v>9670.1318755704306</v>
      </c>
      <c r="T186" s="4">
        <f t="shared" si="16"/>
        <v>8303.0057035831069</v>
      </c>
      <c r="V186" s="4">
        <f t="shared" si="17"/>
        <v>-675.13201183965884</v>
      </c>
      <c r="W186" s="36">
        <f t="shared" si="13"/>
        <v>-8.1311760577053457E-2</v>
      </c>
    </row>
    <row r="187" spans="1:28" x14ac:dyDescent="0.55000000000000004">
      <c r="A187">
        <v>4</v>
      </c>
      <c r="C187" t="str">
        <f>+C186</f>
        <v>1,2차</v>
      </c>
      <c r="D187">
        <v>65</v>
      </c>
      <c r="E187" s="1">
        <v>300</v>
      </c>
      <c r="F187" s="9">
        <v>8328</v>
      </c>
      <c r="G187" s="3">
        <f t="shared" si="14"/>
        <v>2498400</v>
      </c>
      <c r="I187" s="9">
        <f t="shared" si="15"/>
        <v>5084.0482679431916</v>
      </c>
      <c r="O187" s="3">
        <f t="shared" si="12"/>
        <v>-2221.7932679431915</v>
      </c>
      <c r="Q187" s="34">
        <v>196.21</v>
      </c>
      <c r="R187" s="9">
        <f>+VLOOKUP(Q187,[1]Sheet2!$F$5:$V$43,17,FALSE)</f>
        <v>12091.5</v>
      </c>
      <c r="T187" s="4">
        <f t="shared" si="16"/>
        <v>9869.7067320568094</v>
      </c>
      <c r="V187" s="4">
        <f t="shared" si="17"/>
        <v>-2241.8330403133614</v>
      </c>
      <c r="W187" s="36">
        <f t="shared" si="13"/>
        <v>-0.22714282208932179</v>
      </c>
    </row>
    <row r="188" spans="1:28" x14ac:dyDescent="0.55000000000000004">
      <c r="A188">
        <v>5</v>
      </c>
      <c r="C188" s="14" t="s">
        <v>138</v>
      </c>
      <c r="D188" s="14">
        <v>33</v>
      </c>
      <c r="E188" s="1">
        <v>432</v>
      </c>
      <c r="F188" s="35">
        <v>4091</v>
      </c>
      <c r="G188" s="3">
        <f t="shared" si="14"/>
        <v>1767312</v>
      </c>
      <c r="I188" s="35">
        <f t="shared" si="15"/>
        <v>2497.4593496824682</v>
      </c>
      <c r="O188" s="3">
        <f t="shared" si="12"/>
        <v>364.79565031753191</v>
      </c>
      <c r="Q188" s="34">
        <v>82.5</v>
      </c>
      <c r="R188" s="9">
        <f>+VLOOKUP(Q188,[1]Sheet2!$F$5:$V$43,17,FALSE)</f>
        <v>5662.5</v>
      </c>
      <c r="T188" s="4">
        <f t="shared" si="16"/>
        <v>6027.2956503175319</v>
      </c>
      <c r="V188" s="4">
        <f t="shared" si="17"/>
        <v>1600.5780414259161</v>
      </c>
      <c r="W188" s="36">
        <f>+V188/T188</f>
        <v>0.26555492451106061</v>
      </c>
    </row>
    <row r="189" spans="1:28" x14ac:dyDescent="0.55000000000000004">
      <c r="A189">
        <v>6</v>
      </c>
      <c r="C189" t="s">
        <v>139</v>
      </c>
      <c r="D189">
        <v>44</v>
      </c>
      <c r="E189" s="1">
        <v>170</v>
      </c>
      <c r="F189" s="9">
        <v>5989</v>
      </c>
      <c r="G189" s="3">
        <f t="shared" si="14"/>
        <v>1018130</v>
      </c>
      <c r="I189" s="9">
        <f t="shared" si="15"/>
        <v>3656.1437411997808</v>
      </c>
      <c r="O189" s="3">
        <f t="shared" si="12"/>
        <v>-793.88874119978072</v>
      </c>
      <c r="Q189" s="34">
        <v>117.91</v>
      </c>
      <c r="R189" s="9">
        <f>+VLOOKUP(Q189,[1]Sheet2!$F$5:$V$43,17,FALSE)</f>
        <v>7750</v>
      </c>
      <c r="T189" s="4">
        <f t="shared" si="16"/>
        <v>6956.1112588002197</v>
      </c>
      <c r="V189" s="4">
        <f t="shared" si="17"/>
        <v>671.7624329432283</v>
      </c>
      <c r="W189" s="36">
        <f t="shared" ref="W189:W205" si="18">+V189/T189</f>
        <v>9.6571548089225495E-2</v>
      </c>
    </row>
    <row r="190" spans="1:28" x14ac:dyDescent="0.55000000000000004">
      <c r="A190">
        <v>7</v>
      </c>
      <c r="C190" t="s">
        <v>140</v>
      </c>
      <c r="D190">
        <v>35</v>
      </c>
      <c r="E190" s="1">
        <v>224</v>
      </c>
      <c r="F190" s="9">
        <v>4259</v>
      </c>
      <c r="G190" s="3">
        <f t="shared" si="14"/>
        <v>954016</v>
      </c>
      <c r="I190" s="9">
        <f t="shared" si="15"/>
        <v>2600.0194011971726</v>
      </c>
      <c r="O190" s="3">
        <f t="shared" si="12"/>
        <v>262.23559880282755</v>
      </c>
      <c r="Q190" s="34">
        <v>82.23</v>
      </c>
      <c r="R190" s="9">
        <f>+VLOOKUP(Q190,[1]Sheet2!$F$5:$V$43,17,FALSE)</f>
        <v>6200</v>
      </c>
      <c r="T190" s="4">
        <f t="shared" si="16"/>
        <v>6462.2355988028276</v>
      </c>
      <c r="V190" s="4">
        <f t="shared" si="17"/>
        <v>1165.6380929406205</v>
      </c>
      <c r="W190" s="36">
        <f t="shared" si="18"/>
        <v>0.18037691060916486</v>
      </c>
    </row>
    <row r="191" spans="1:28" x14ac:dyDescent="0.55000000000000004">
      <c r="A191">
        <v>8</v>
      </c>
      <c r="C191" t="s">
        <v>141</v>
      </c>
      <c r="D191">
        <v>48</v>
      </c>
      <c r="E191" s="1">
        <v>560</v>
      </c>
      <c r="F191" s="9">
        <v>5798</v>
      </c>
      <c r="G191" s="3">
        <f t="shared" si="14"/>
        <v>3246880</v>
      </c>
      <c r="I191" s="9">
        <f t="shared" si="15"/>
        <v>3539.5427302515159</v>
      </c>
      <c r="O191" s="3">
        <f t="shared" si="12"/>
        <v>-677.28773025151577</v>
      </c>
      <c r="Q191" s="34">
        <v>144.69999999999999</v>
      </c>
      <c r="R191" s="9">
        <f>+VLOOKUP(Q191,[1]Sheet2!$F$5:$V$43,17,FALSE)</f>
        <v>7608.5</v>
      </c>
      <c r="T191" s="4">
        <f t="shared" si="16"/>
        <v>6931.2122697484847</v>
      </c>
      <c r="V191" s="4">
        <f t="shared" si="17"/>
        <v>696.66142199496335</v>
      </c>
      <c r="W191" s="36">
        <f t="shared" si="18"/>
        <v>0.1005107613044209</v>
      </c>
    </row>
    <row r="192" spans="1:28" x14ac:dyDescent="0.55000000000000004">
      <c r="A192">
        <v>9</v>
      </c>
      <c r="C192" t="str">
        <f>+C191</f>
        <v>6,7차</v>
      </c>
      <c r="D192">
        <v>53</v>
      </c>
      <c r="E192" s="1">
        <v>420</v>
      </c>
      <c r="F192" s="9">
        <v>6373</v>
      </c>
      <c r="G192" s="3">
        <f t="shared" si="14"/>
        <v>2676660</v>
      </c>
      <c r="I192" s="9">
        <f t="shared" si="15"/>
        <v>3890.5667160905332</v>
      </c>
      <c r="O192" s="3">
        <f t="shared" si="12"/>
        <v>-1028.3117160905331</v>
      </c>
      <c r="Q192" s="34">
        <v>157.36000000000001</v>
      </c>
      <c r="R192" s="9">
        <f>+VLOOKUP(Q192,[1]Sheet2!$F$5:$V$43,17,FALSE)</f>
        <v>8550</v>
      </c>
      <c r="T192" s="4">
        <f t="shared" si="16"/>
        <v>7521.6882839094669</v>
      </c>
      <c r="V192" s="4">
        <f t="shared" si="17"/>
        <v>106.18540783398112</v>
      </c>
      <c r="W192" s="36">
        <f t="shared" si="18"/>
        <v>1.4117230577227573E-2</v>
      </c>
    </row>
    <row r="193" spans="1:23" x14ac:dyDescent="0.55000000000000004">
      <c r="A193">
        <v>10</v>
      </c>
      <c r="C193" t="str">
        <f>+C192</f>
        <v>6,7차</v>
      </c>
      <c r="D193">
        <v>65</v>
      </c>
      <c r="E193" s="1">
        <v>252</v>
      </c>
      <c r="F193" s="9">
        <v>7979</v>
      </c>
      <c r="G193" s="3">
        <f t="shared" si="14"/>
        <v>2010708</v>
      </c>
      <c r="I193" s="9">
        <f t="shared" si="15"/>
        <v>4870.9919704513359</v>
      </c>
      <c r="O193" s="3">
        <f t="shared" si="12"/>
        <v>-2008.7369704513358</v>
      </c>
      <c r="Q193" s="34">
        <v>196.7</v>
      </c>
      <c r="R193" s="9">
        <f>+VLOOKUP(Q193,[1]Sheet2!$F$5:$V$43,17,FALSE)</f>
        <v>9883.5</v>
      </c>
      <c r="T193" s="4">
        <f t="shared" si="16"/>
        <v>7874.7630295486642</v>
      </c>
      <c r="V193" s="4">
        <f t="shared" si="17"/>
        <v>-246.8893378052162</v>
      </c>
      <c r="W193" s="36">
        <f t="shared" si="18"/>
        <v>-3.1351970450260835E-2</v>
      </c>
    </row>
    <row r="194" spans="1:23" x14ac:dyDescent="0.55000000000000004">
      <c r="A194">
        <v>11</v>
      </c>
      <c r="C194" t="str">
        <f>+C193</f>
        <v>6,7차</v>
      </c>
      <c r="D194">
        <v>80</v>
      </c>
      <c r="E194" s="1">
        <v>56</v>
      </c>
      <c r="F194" s="9">
        <v>9995</v>
      </c>
      <c r="G194" s="3">
        <f t="shared" si="14"/>
        <v>559720</v>
      </c>
      <c r="I194" s="9">
        <f t="shared" si="15"/>
        <v>6101.7125886277854</v>
      </c>
      <c r="O194" s="3">
        <f t="shared" si="12"/>
        <v>-3239.4575886277853</v>
      </c>
      <c r="Q194" s="34">
        <v>245.2</v>
      </c>
      <c r="R194" s="9">
        <f>+VLOOKUP(Q194,[1]Sheet2!$F$5:$V$43,17,FALSE)</f>
        <v>12641.5</v>
      </c>
      <c r="T194" s="4">
        <f t="shared" si="16"/>
        <v>9402.0424113722147</v>
      </c>
      <c r="V194" s="4">
        <f t="shared" si="17"/>
        <v>-1774.1687196287667</v>
      </c>
      <c r="W194" s="36">
        <f t="shared" si="18"/>
        <v>-0.18870035275344277</v>
      </c>
    </row>
    <row r="195" spans="1:23" x14ac:dyDescent="0.55000000000000004">
      <c r="A195">
        <v>12</v>
      </c>
      <c r="C195" t="s">
        <v>142</v>
      </c>
      <c r="D195">
        <v>36</v>
      </c>
      <c r="E195" s="1">
        <v>96</v>
      </c>
      <c r="F195" s="37">
        <v>4337</v>
      </c>
      <c r="G195" s="20">
        <f t="shared" si="14"/>
        <v>416352</v>
      </c>
      <c r="I195" s="37">
        <f t="shared" si="15"/>
        <v>2647.6365679718565</v>
      </c>
      <c r="O195" s="3">
        <f t="shared" si="12"/>
        <v>214.61843202814362</v>
      </c>
      <c r="Q195" s="34">
        <v>108.15</v>
      </c>
      <c r="R195" s="9">
        <f>+VLOOKUP(Q195,[1]Sheet2!$F$5:$V$43,17,FALSE)</f>
        <v>6175</v>
      </c>
      <c r="T195" s="4">
        <f t="shared" si="16"/>
        <v>6389.6184320281436</v>
      </c>
      <c r="V195" s="4">
        <f t="shared" si="17"/>
        <v>1238.2552597153044</v>
      </c>
      <c r="W195" s="36">
        <f t="shared" si="18"/>
        <v>0.19379173778335726</v>
      </c>
    </row>
    <row r="196" spans="1:23" x14ac:dyDescent="0.55000000000000004">
      <c r="A196">
        <v>13</v>
      </c>
      <c r="C196" t="str">
        <f>+C195</f>
        <v>10차</v>
      </c>
      <c r="D196">
        <v>50</v>
      </c>
      <c r="E196" s="1">
        <v>48</v>
      </c>
      <c r="F196" s="9">
        <v>6145</v>
      </c>
      <c r="G196" s="3">
        <f t="shared" si="14"/>
        <v>294960</v>
      </c>
      <c r="I196" s="9">
        <f t="shared" si="15"/>
        <v>3751.3780747491487</v>
      </c>
      <c r="O196" s="3">
        <f t="shared" si="12"/>
        <v>-889.1230747491486</v>
      </c>
      <c r="Q196" s="34">
        <v>151.93</v>
      </c>
      <c r="R196" s="9">
        <f>+VLOOKUP(Q196,[1]Sheet2!$F$5:$V$43,17,FALSE)</f>
        <v>7675</v>
      </c>
      <c r="T196" s="4">
        <f t="shared" si="16"/>
        <v>6785.8769252508519</v>
      </c>
      <c r="V196" s="4">
        <f t="shared" si="17"/>
        <v>841.99676649259618</v>
      </c>
      <c r="W196" s="36">
        <f t="shared" si="18"/>
        <v>0.12408076005025249</v>
      </c>
    </row>
    <row r="197" spans="1:23" x14ac:dyDescent="0.55000000000000004">
      <c r="A197">
        <v>14</v>
      </c>
      <c r="C197" t="s">
        <v>143</v>
      </c>
      <c r="D197" t="s">
        <v>144</v>
      </c>
      <c r="E197" s="1">
        <v>104</v>
      </c>
      <c r="F197" s="9">
        <v>4660</v>
      </c>
      <c r="G197" s="3">
        <f t="shared" si="14"/>
        <v>484640</v>
      </c>
      <c r="I197" s="9">
        <f t="shared" si="15"/>
        <v>2844.8204765388173</v>
      </c>
      <c r="O197" s="3">
        <f t="shared" si="12"/>
        <v>17.434523461182835</v>
      </c>
      <c r="Q197" s="34">
        <v>105.45</v>
      </c>
      <c r="R197" s="9">
        <f>+VLOOKUP(Q197,[1]Sheet2!$F$5:$V$43,17,FALSE)</f>
        <v>6550</v>
      </c>
      <c r="T197" s="4">
        <f t="shared" si="16"/>
        <v>6567.4345234611828</v>
      </c>
      <c r="V197" s="4">
        <f t="shared" si="17"/>
        <v>1060.4391682822652</v>
      </c>
      <c r="W197" s="36">
        <f t="shared" si="18"/>
        <v>0.16146931720354485</v>
      </c>
    </row>
    <row r="198" spans="1:23" x14ac:dyDescent="0.55000000000000004">
      <c r="A198">
        <v>15</v>
      </c>
      <c r="C198" t="str">
        <f>+C197</f>
        <v>13차</v>
      </c>
      <c r="D198" t="s">
        <v>145</v>
      </c>
      <c r="E198" s="1">
        <v>130</v>
      </c>
      <c r="F198" s="9">
        <v>4660</v>
      </c>
      <c r="G198" s="3">
        <f t="shared" si="14"/>
        <v>605800</v>
      </c>
      <c r="I198" s="9">
        <f t="shared" si="15"/>
        <v>2844.8204765388173</v>
      </c>
      <c r="O198" s="3">
        <f t="shared" si="12"/>
        <v>17.434523461182835</v>
      </c>
      <c r="Q198" s="34">
        <v>108.47</v>
      </c>
      <c r="R198" s="9">
        <f>+VLOOKUP(Q198,[1]Sheet2!$F$5:$V$43,17,FALSE)</f>
        <v>6550</v>
      </c>
      <c r="T198" s="4">
        <f t="shared" si="16"/>
        <v>6567.4345234611828</v>
      </c>
      <c r="V198" s="4">
        <f t="shared" si="17"/>
        <v>1060.4391682822652</v>
      </c>
      <c r="W198" s="36">
        <f t="shared" si="18"/>
        <v>0.16146931720354485</v>
      </c>
    </row>
    <row r="199" spans="1:23" x14ac:dyDescent="0.55000000000000004">
      <c r="A199">
        <v>16</v>
      </c>
      <c r="C199" t="s">
        <v>146</v>
      </c>
      <c r="D199">
        <v>32</v>
      </c>
      <c r="E199" s="1">
        <v>388</v>
      </c>
      <c r="F199" s="9">
        <v>4348</v>
      </c>
      <c r="G199" s="3">
        <f t="shared" si="14"/>
        <v>1687024</v>
      </c>
      <c r="I199" s="9">
        <f t="shared" si="15"/>
        <v>2654.3518094400811</v>
      </c>
      <c r="O199" s="3">
        <f t="shared" si="12"/>
        <v>207.90319055991904</v>
      </c>
      <c r="Q199" s="34">
        <v>84.98</v>
      </c>
      <c r="R199" s="9">
        <f>+VLOOKUP(Q199,[1]Sheet2!$F$5:$V$43,17,FALSE)</f>
        <v>6250</v>
      </c>
      <c r="T199" s="4">
        <f t="shared" si="16"/>
        <v>6457.9031905599186</v>
      </c>
      <c r="V199" s="4">
        <f t="shared" si="17"/>
        <v>1169.9705011835294</v>
      </c>
      <c r="W199" s="36">
        <f t="shared" si="18"/>
        <v>0.18116878910383444</v>
      </c>
    </row>
    <row r="200" spans="1:23" x14ac:dyDescent="0.55000000000000004">
      <c r="A200">
        <v>17</v>
      </c>
      <c r="C200" t="s">
        <v>147</v>
      </c>
      <c r="D200">
        <v>75</v>
      </c>
      <c r="E200" s="1">
        <v>4</v>
      </c>
      <c r="F200" s="9">
        <v>6467</v>
      </c>
      <c r="G200" s="3">
        <f t="shared" si="14"/>
        <v>25868</v>
      </c>
      <c r="I200" s="9">
        <f t="shared" si="15"/>
        <v>3947.9515068189985</v>
      </c>
      <c r="O200" s="3">
        <f t="shared" si="12"/>
        <v>-1085.6965068189984</v>
      </c>
      <c r="Q200" s="34">
        <v>232.67</v>
      </c>
      <c r="R200" s="9">
        <f>+VLOOKUP(Q200,[1]Sheet2!$F$5:$V$43,17,FALSE)</f>
        <v>10873.832057994361</v>
      </c>
      <c r="T200" s="4">
        <f t="shared" si="16"/>
        <v>9788.1355511753627</v>
      </c>
      <c r="V200" s="4">
        <f t="shared" si="17"/>
        <v>-2160.2618594319147</v>
      </c>
      <c r="W200" s="36">
        <f t="shared" si="18"/>
        <v>-0.22070207836184999</v>
      </c>
    </row>
    <row r="201" spans="1:23" x14ac:dyDescent="0.55000000000000004">
      <c r="A201">
        <v>18</v>
      </c>
      <c r="C201" t="str">
        <f>+C200</f>
        <v>대림아크로빌</v>
      </c>
      <c r="D201">
        <v>93</v>
      </c>
      <c r="E201" s="1">
        <v>52</v>
      </c>
      <c r="F201" s="9">
        <v>7449</v>
      </c>
      <c r="G201" s="3">
        <f t="shared" si="14"/>
        <v>387348</v>
      </c>
      <c r="I201" s="9">
        <f t="shared" si="15"/>
        <v>4547.4394269823288</v>
      </c>
      <c r="O201" s="3">
        <f t="shared" si="12"/>
        <v>-1685.1844269823287</v>
      </c>
      <c r="Q201" s="34">
        <v>243.96</v>
      </c>
      <c r="R201" s="9">
        <f>+VLOOKUP(Q201,[1]Sheet2!$F$5:$V$43,17,FALSE)</f>
        <v>12525</v>
      </c>
      <c r="T201" s="4">
        <f t="shared" si="16"/>
        <v>10839.815573017671</v>
      </c>
      <c r="V201" s="4">
        <f t="shared" si="17"/>
        <v>-3211.9418812742233</v>
      </c>
      <c r="W201" s="36">
        <f t="shared" si="18"/>
        <v>-0.29630964287523004</v>
      </c>
    </row>
    <row r="202" spans="1:23" x14ac:dyDescent="0.55000000000000004">
      <c r="A202">
        <v>19</v>
      </c>
      <c r="C202" t="s">
        <v>148</v>
      </c>
      <c r="D202">
        <v>75</v>
      </c>
      <c r="E202" s="1">
        <v>17</v>
      </c>
      <c r="F202" s="9">
        <v>5499</v>
      </c>
      <c r="G202" s="3">
        <f t="shared" si="14"/>
        <v>93483</v>
      </c>
      <c r="I202" s="9">
        <f t="shared" si="15"/>
        <v>3357.0102576152267</v>
      </c>
      <c r="O202" s="3">
        <f t="shared" si="12"/>
        <v>-494.75525761522658</v>
      </c>
      <c r="Q202">
        <v>193.33</v>
      </c>
      <c r="R202" s="9">
        <f>+VLOOKUP(Q202,[1]Sheet2!$F$5:$V$43,17,FALSE)</f>
        <v>7259.0492790835469</v>
      </c>
      <c r="T202" s="4">
        <f t="shared" si="16"/>
        <v>6764.2940214683204</v>
      </c>
      <c r="V202" s="4">
        <f t="shared" si="17"/>
        <v>863.57967027512768</v>
      </c>
      <c r="W202" s="36">
        <f t="shared" si="18"/>
        <v>0.12766737630480335</v>
      </c>
    </row>
    <row r="203" spans="1:23" x14ac:dyDescent="0.55000000000000004">
      <c r="A203">
        <v>20</v>
      </c>
      <c r="C203" t="str">
        <f>+C202</f>
        <v>대림빌라트</v>
      </c>
      <c r="D203">
        <v>93</v>
      </c>
      <c r="E203" s="1">
        <v>2</v>
      </c>
      <c r="F203" s="9">
        <v>6602</v>
      </c>
      <c r="G203" s="3">
        <f t="shared" si="14"/>
        <v>13204</v>
      </c>
      <c r="I203" s="9">
        <f t="shared" si="15"/>
        <v>4030.3658339290287</v>
      </c>
      <c r="O203" s="3">
        <f t="shared" si="12"/>
        <v>-1168.1108339290286</v>
      </c>
      <c r="Q203">
        <v>234.75</v>
      </c>
      <c r="R203" s="9">
        <f>+VLOOKUP(Q203,[1]Sheet2!$F$5:$V$43,17,FALSE)</f>
        <v>8715.0833497926142</v>
      </c>
      <c r="T203" s="4">
        <f t="shared" si="16"/>
        <v>7546.9725158635856</v>
      </c>
      <c r="V203" s="4">
        <f t="shared" si="17"/>
        <v>80.901175879862421</v>
      </c>
      <c r="W203" s="36">
        <f t="shared" si="18"/>
        <v>1.0719686034341555E-2</v>
      </c>
    </row>
    <row r="204" spans="1:23" x14ac:dyDescent="0.55000000000000004">
      <c r="A204">
        <v>21</v>
      </c>
      <c r="C204" t="s">
        <v>149</v>
      </c>
      <c r="D204">
        <v>73</v>
      </c>
      <c r="E204" s="1">
        <v>17</v>
      </c>
      <c r="F204" s="9">
        <v>5490</v>
      </c>
      <c r="G204" s="3">
        <f t="shared" si="14"/>
        <v>93330</v>
      </c>
      <c r="I204" s="9">
        <f t="shared" si="15"/>
        <v>3351.515969141225</v>
      </c>
      <c r="O204" s="3">
        <f t="shared" si="12"/>
        <v>-489.2609691412249</v>
      </c>
      <c r="Q204">
        <v>181.81</v>
      </c>
      <c r="R204" s="9">
        <f>+VLOOKUP(Q204,[1]Sheet2!$F$5:$V$43,17,FALSE)</f>
        <v>7247.1686746987953</v>
      </c>
      <c r="T204" s="4">
        <f t="shared" si="16"/>
        <v>6757.9077055575708</v>
      </c>
      <c r="V204" s="4">
        <f t="shared" si="17"/>
        <v>869.96598618587723</v>
      </c>
      <c r="W204" s="36">
        <f t="shared" si="18"/>
        <v>0.1287330375155071</v>
      </c>
    </row>
    <row r="205" spans="1:23" x14ac:dyDescent="0.55000000000000004">
      <c r="A205">
        <v>22</v>
      </c>
      <c r="C205" t="str">
        <f>+C204</f>
        <v>현대빌라트</v>
      </c>
      <c r="D205">
        <v>87</v>
      </c>
      <c r="E205" s="1">
        <v>2</v>
      </c>
      <c r="F205" s="9">
        <v>6403</v>
      </c>
      <c r="G205" s="3">
        <f t="shared" si="14"/>
        <v>12806</v>
      </c>
      <c r="I205" s="9">
        <f t="shared" si="15"/>
        <v>3908.881011003873</v>
      </c>
      <c r="O205" s="3">
        <f t="shared" si="12"/>
        <v>-1046.6260110038729</v>
      </c>
      <c r="Q205">
        <v>217.03</v>
      </c>
      <c r="R205" s="9">
        <f>+VLOOKUP(Q205,[1]Sheet2!$F$5:$V$43,17,FALSE)</f>
        <v>8452.3899861742048</v>
      </c>
      <c r="T205" s="4">
        <f t="shared" si="16"/>
        <v>7405.7639751703318</v>
      </c>
      <c r="V205" s="4">
        <f t="shared" si="17"/>
        <v>222.1097165731162</v>
      </c>
      <c r="W205" s="36">
        <f t="shared" si="18"/>
        <v>2.999146574449231E-2</v>
      </c>
    </row>
    <row r="206" spans="1:23" x14ac:dyDescent="0.55000000000000004">
      <c r="E206" s="1">
        <f>+SUM(E184:E205)</f>
        <v>3934</v>
      </c>
      <c r="F206" s="3"/>
      <c r="G206" s="3">
        <f>+SUM(G184:G205)</f>
        <v>23045081</v>
      </c>
      <c r="H206" s="3">
        <v>23039157</v>
      </c>
    </row>
    <row r="207" spans="1:23" x14ac:dyDescent="0.55000000000000004">
      <c r="C207" t="s">
        <v>245</v>
      </c>
      <c r="G207" s="23">
        <v>1891257</v>
      </c>
      <c r="H207" s="4">
        <f>+G208-H206</f>
        <v>1897181</v>
      </c>
      <c r="W207" s="92">
        <f>+MAX(W184:W205)</f>
        <v>0.26555492451106061</v>
      </c>
    </row>
    <row r="208" spans="1:23" x14ac:dyDescent="0.55000000000000004">
      <c r="C208" t="s">
        <v>246</v>
      </c>
      <c r="G208" s="24">
        <f>+G206+G207</f>
        <v>24936338</v>
      </c>
    </row>
    <row r="210" spans="9:9" x14ac:dyDescent="0.55000000000000004">
      <c r="I210" s="4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FDBB-6680-4F96-8CCD-8041D908BE61}">
  <dimension ref="A1:AD234"/>
  <sheetViews>
    <sheetView workbookViewId="0"/>
  </sheetViews>
  <sheetFormatPr defaultRowHeight="17.600000000000001" x14ac:dyDescent="0.55000000000000004"/>
  <cols>
    <col min="3" max="3" width="12.42578125" bestFit="1" customWidth="1"/>
    <col min="4" max="4" width="11.7109375" customWidth="1"/>
    <col min="5" max="5" width="12.5703125" bestFit="1" customWidth="1"/>
    <col min="6" max="6" width="11.28515625" bestFit="1" customWidth="1"/>
    <col min="7" max="7" width="10.640625" bestFit="1" customWidth="1"/>
    <col min="8" max="8" width="9.2109375" bestFit="1" customWidth="1"/>
    <col min="9" max="9" width="12.2109375" bestFit="1" customWidth="1"/>
    <col min="11" max="11" width="11.7109375" bestFit="1" customWidth="1"/>
    <col min="12" max="12" width="13" style="14" customWidth="1"/>
    <col min="13" max="13" width="11.35546875" customWidth="1"/>
    <col min="14" max="14" width="13" bestFit="1" customWidth="1"/>
  </cols>
  <sheetData>
    <row r="1" spans="1:18" s="14" customFormat="1" x14ac:dyDescent="0.55000000000000004">
      <c r="L1" s="14" t="s">
        <v>160</v>
      </c>
    </row>
    <row r="3" spans="1:18" x14ac:dyDescent="0.55000000000000004">
      <c r="A3" t="s">
        <v>35</v>
      </c>
    </row>
    <row r="5" spans="1:18" x14ac:dyDescent="0.55000000000000004">
      <c r="A5" t="s">
        <v>159</v>
      </c>
    </row>
    <row r="6" spans="1:18" x14ac:dyDescent="0.55000000000000004">
      <c r="E6" t="s">
        <v>161</v>
      </c>
      <c r="F6" t="s">
        <v>162</v>
      </c>
      <c r="G6" t="s">
        <v>163</v>
      </c>
    </row>
    <row r="7" spans="1:18" x14ac:dyDescent="0.55000000000000004">
      <c r="B7" t="s">
        <v>164</v>
      </c>
      <c r="E7" s="1">
        <v>4831600</v>
      </c>
      <c r="F7" t="s">
        <v>165</v>
      </c>
    </row>
    <row r="8" spans="1:18" x14ac:dyDescent="0.55000000000000004">
      <c r="B8" t="s">
        <v>166</v>
      </c>
      <c r="E8" s="1">
        <v>1388200</v>
      </c>
      <c r="F8" t="s">
        <v>165</v>
      </c>
    </row>
    <row r="9" spans="1:18" x14ac:dyDescent="0.55000000000000004">
      <c r="B9" t="s">
        <v>167</v>
      </c>
      <c r="E9" s="1">
        <v>4571300</v>
      </c>
      <c r="F9" t="s">
        <v>165</v>
      </c>
    </row>
    <row r="10" spans="1:18" x14ac:dyDescent="0.55000000000000004">
      <c r="B10" t="s">
        <v>168</v>
      </c>
      <c r="E10" s="13">
        <f>+(E7-E8)/E9</f>
        <v>0.75326493557631313</v>
      </c>
      <c r="F10" t="s">
        <v>165</v>
      </c>
    </row>
    <row r="12" spans="1:18" x14ac:dyDescent="0.55000000000000004">
      <c r="A12" t="s">
        <v>169</v>
      </c>
    </row>
    <row r="13" spans="1:18" x14ac:dyDescent="0.55000000000000004">
      <c r="E13" t="s">
        <v>170</v>
      </c>
      <c r="F13" t="s">
        <v>171</v>
      </c>
      <c r="G13" t="s">
        <v>163</v>
      </c>
    </row>
    <row r="14" spans="1:18" x14ac:dyDescent="0.55000000000000004">
      <c r="B14" t="s">
        <v>172</v>
      </c>
      <c r="E14" s="1">
        <v>79638.100000000006</v>
      </c>
      <c r="F14" t="s">
        <v>165</v>
      </c>
    </row>
    <row r="16" spans="1:18" x14ac:dyDescent="0.55000000000000004">
      <c r="B16" t="s">
        <v>176</v>
      </c>
      <c r="P16" t="s">
        <v>271</v>
      </c>
      <c r="Q16" t="s">
        <v>332</v>
      </c>
      <c r="R16" t="s">
        <v>333</v>
      </c>
    </row>
    <row r="17" spans="1:20" x14ac:dyDescent="0.55000000000000004">
      <c r="B17" t="s">
        <v>177</v>
      </c>
      <c r="E17">
        <f>+E14*G17</f>
        <v>238866.51714000001</v>
      </c>
      <c r="G17" s="2">
        <v>2.9994000000000001</v>
      </c>
      <c r="H17" t="s">
        <v>179</v>
      </c>
      <c r="I17" s="5" t="s">
        <v>180</v>
      </c>
      <c r="N17" s="38">
        <v>243841.66</v>
      </c>
      <c r="O17" t="s">
        <v>334</v>
      </c>
      <c r="P17" s="1">
        <v>59</v>
      </c>
      <c r="Q17">
        <f>+Q18*P17/P18</f>
        <v>80.071428571428569</v>
      </c>
      <c r="R17" s="1">
        <v>144.71</v>
      </c>
      <c r="S17">
        <f>+R17/Q17</f>
        <v>1.8072613737734167</v>
      </c>
      <c r="T17" s="5" t="s">
        <v>335</v>
      </c>
    </row>
    <row r="18" spans="1:20" x14ac:dyDescent="0.55000000000000004">
      <c r="B18" t="s">
        <v>181</v>
      </c>
      <c r="E18">
        <f>+G20*50</f>
        <v>215985</v>
      </c>
      <c r="G18" s="5" t="s">
        <v>336</v>
      </c>
      <c r="H18" s="1"/>
      <c r="L18" s="14" t="s">
        <v>337</v>
      </c>
      <c r="N18" s="39">
        <f>+N19-N17</f>
        <v>203023.36000000002</v>
      </c>
      <c r="P18">
        <v>84</v>
      </c>
      <c r="Q18">
        <v>114</v>
      </c>
    </row>
    <row r="19" spans="1:20" x14ac:dyDescent="0.55000000000000004">
      <c r="B19" t="s">
        <v>184</v>
      </c>
      <c r="E19" s="46">
        <f>+N19</f>
        <v>446865.02</v>
      </c>
      <c r="F19" s="11"/>
      <c r="L19" s="40">
        <f>+E19/N19</f>
        <v>1</v>
      </c>
      <c r="M19" t="s">
        <v>338</v>
      </c>
      <c r="N19" s="41">
        <v>446865.02</v>
      </c>
      <c r="O19" t="s">
        <v>176</v>
      </c>
    </row>
    <row r="20" spans="1:20" x14ac:dyDescent="0.55000000000000004">
      <c r="G20">
        <f>+G21*G22</f>
        <v>4319.7</v>
      </c>
      <c r="H20" s="5" t="s">
        <v>339</v>
      </c>
    </row>
    <row r="21" spans="1:20" x14ac:dyDescent="0.55000000000000004">
      <c r="G21">
        <v>2.1</v>
      </c>
      <c r="H21" s="5" t="s">
        <v>340</v>
      </c>
      <c r="M21" t="s">
        <v>338</v>
      </c>
      <c r="N21">
        <v>4172</v>
      </c>
      <c r="O21" t="s">
        <v>11</v>
      </c>
      <c r="P21">
        <f>+N21*50</f>
        <v>208600</v>
      </c>
    </row>
    <row r="22" spans="1:20" x14ac:dyDescent="0.55000000000000004">
      <c r="G22" s="1">
        <v>2057</v>
      </c>
      <c r="H22" t="s">
        <v>341</v>
      </c>
    </row>
    <row r="24" spans="1:20" s="14" customFormat="1" x14ac:dyDescent="0.55000000000000004"/>
    <row r="26" spans="1:20" x14ac:dyDescent="0.55000000000000004">
      <c r="A26" t="s">
        <v>186</v>
      </c>
      <c r="B26" t="s">
        <v>38</v>
      </c>
    </row>
    <row r="27" spans="1:20" x14ac:dyDescent="0.55000000000000004">
      <c r="E27" t="s">
        <v>170</v>
      </c>
      <c r="F27" t="s">
        <v>171</v>
      </c>
      <c r="G27" t="s">
        <v>163</v>
      </c>
    </row>
    <row r="28" spans="1:20" x14ac:dyDescent="0.55000000000000004">
      <c r="B28" t="s">
        <v>187</v>
      </c>
      <c r="E28" s="1">
        <v>2057</v>
      </c>
      <c r="F28" t="s">
        <v>165</v>
      </c>
    </row>
    <row r="29" spans="1:20" x14ac:dyDescent="0.55000000000000004">
      <c r="B29" t="s">
        <v>188</v>
      </c>
      <c r="E29" s="1">
        <f>85+175</f>
        <v>260</v>
      </c>
      <c r="F29" t="s">
        <v>165</v>
      </c>
    </row>
    <row r="30" spans="1:20" x14ac:dyDescent="0.55000000000000004">
      <c r="B30" t="s">
        <v>342</v>
      </c>
      <c r="E30" s="1">
        <v>1572</v>
      </c>
      <c r="F30" t="s">
        <v>165</v>
      </c>
    </row>
    <row r="31" spans="1:20" x14ac:dyDescent="0.55000000000000004">
      <c r="B31" t="s">
        <v>343</v>
      </c>
      <c r="E31" s="1">
        <v>225</v>
      </c>
      <c r="F31" t="s">
        <v>165</v>
      </c>
    </row>
    <row r="33" spans="1:16" s="14" customFormat="1" x14ac:dyDescent="0.55000000000000004"/>
    <row r="35" spans="1:16" x14ac:dyDescent="0.55000000000000004">
      <c r="A35" t="s">
        <v>186</v>
      </c>
      <c r="B35" s="3" t="s">
        <v>191</v>
      </c>
    </row>
    <row r="37" spans="1:16" x14ac:dyDescent="0.55000000000000004">
      <c r="G37" t="s">
        <v>192</v>
      </c>
      <c r="H37" t="s">
        <v>193</v>
      </c>
      <c r="I37" t="s">
        <v>194</v>
      </c>
    </row>
    <row r="38" spans="1:16" x14ac:dyDescent="0.55000000000000004">
      <c r="B38" t="s">
        <v>187</v>
      </c>
      <c r="C38" t="s">
        <v>195</v>
      </c>
      <c r="E38" t="s">
        <v>196</v>
      </c>
      <c r="F38">
        <f>+SUM(G38:I38)</f>
        <v>1572</v>
      </c>
      <c r="H38">
        <f>+E30-I38</f>
        <v>824</v>
      </c>
      <c r="I38">
        <f>+I40</f>
        <v>748</v>
      </c>
      <c r="J38" s="5" t="s">
        <v>344</v>
      </c>
    </row>
    <row r="39" spans="1:16" x14ac:dyDescent="0.55000000000000004">
      <c r="E39" t="s">
        <v>198</v>
      </c>
      <c r="F39">
        <f>+SUM(G39:I39)</f>
        <v>225</v>
      </c>
      <c r="G39">
        <f>+G40*1</f>
        <v>205</v>
      </c>
      <c r="H39">
        <f>+H40-H38</f>
        <v>20</v>
      </c>
      <c r="J39" s="5" t="s">
        <v>345</v>
      </c>
    </row>
    <row r="40" spans="1:16" x14ac:dyDescent="0.55000000000000004">
      <c r="E40" t="s">
        <v>200</v>
      </c>
      <c r="F40" s="1">
        <f>+SUM(G40:I40)</f>
        <v>1797</v>
      </c>
      <c r="G40" s="1">
        <v>205</v>
      </c>
      <c r="H40" s="1">
        <v>844</v>
      </c>
      <c r="I40" s="1">
        <v>748</v>
      </c>
    </row>
    <row r="41" spans="1:16" x14ac:dyDescent="0.55000000000000004">
      <c r="C41" t="s">
        <v>346</v>
      </c>
      <c r="F41">
        <f>+SUM(G41:I41)</f>
        <v>85</v>
      </c>
      <c r="G41" s="1">
        <v>85</v>
      </c>
      <c r="H41" s="1"/>
    </row>
    <row r="42" spans="1:16" x14ac:dyDescent="0.55000000000000004">
      <c r="C42" t="s">
        <v>347</v>
      </c>
      <c r="F42">
        <f>+SUM(G42:I42)</f>
        <v>175</v>
      </c>
      <c r="G42" s="1">
        <v>118</v>
      </c>
      <c r="H42" s="1">
        <v>57</v>
      </c>
    </row>
    <row r="43" spans="1:16" x14ac:dyDescent="0.55000000000000004">
      <c r="E43" t="s">
        <v>200</v>
      </c>
      <c r="F43">
        <f>+F41+F42</f>
        <v>260</v>
      </c>
    </row>
    <row r="46" spans="1:16" x14ac:dyDescent="0.55000000000000004">
      <c r="C46" t="s">
        <v>230</v>
      </c>
      <c r="D46" t="s">
        <v>210</v>
      </c>
      <c r="E46" t="s">
        <v>195</v>
      </c>
      <c r="F46" t="s">
        <v>38</v>
      </c>
      <c r="G46" t="s">
        <v>348</v>
      </c>
      <c r="H46" t="s">
        <v>232</v>
      </c>
      <c r="I46" t="s">
        <v>233</v>
      </c>
      <c r="J46" t="s">
        <v>349</v>
      </c>
      <c r="K46" t="s">
        <v>350</v>
      </c>
      <c r="L46" s="5" t="s">
        <v>351</v>
      </c>
    </row>
    <row r="47" spans="1:16" x14ac:dyDescent="0.55000000000000004">
      <c r="B47" t="s">
        <v>196</v>
      </c>
      <c r="C47" t="s">
        <v>192</v>
      </c>
      <c r="D47" s="1"/>
      <c r="E47" s="1"/>
    </row>
    <row r="48" spans="1:16" x14ac:dyDescent="0.55000000000000004">
      <c r="B48">
        <v>1</v>
      </c>
      <c r="C48" t="s">
        <v>193</v>
      </c>
      <c r="D48" s="1">
        <v>65.95</v>
      </c>
      <c r="E48" s="1">
        <v>88.373000000000005</v>
      </c>
      <c r="F48" s="1">
        <v>336</v>
      </c>
      <c r="G48" s="1">
        <v>75</v>
      </c>
      <c r="H48">
        <f t="shared" ref="H48:H56" si="0">+ROUND(G48*E48*0.3025,0)</f>
        <v>2005</v>
      </c>
      <c r="I48" s="1">
        <f t="shared" ref="I48:I56" si="1">+H48*F48</f>
        <v>673680</v>
      </c>
      <c r="J48">
        <f>+$J$62*D48/$D$62</f>
        <v>159.19306922435365</v>
      </c>
      <c r="K48">
        <f t="shared" ref="K48:K69" si="2">+J48*F48</f>
        <v>53488.871259382824</v>
      </c>
      <c r="P48">
        <f t="shared" ref="P48:P56" si="3">+E48*0.3025*F48</f>
        <v>8982.2317199999998</v>
      </c>
    </row>
    <row r="49" spans="2:19" x14ac:dyDescent="0.55000000000000004">
      <c r="B49">
        <v>2</v>
      </c>
      <c r="D49" s="1">
        <v>75.95</v>
      </c>
      <c r="E49" s="1">
        <v>101.773</v>
      </c>
      <c r="F49" s="1">
        <v>288</v>
      </c>
      <c r="G49" s="1">
        <v>75</v>
      </c>
      <c r="H49">
        <f t="shared" si="0"/>
        <v>2309</v>
      </c>
      <c r="I49" s="1">
        <f t="shared" si="1"/>
        <v>664992</v>
      </c>
      <c r="J49">
        <f t="shared" ref="J49:J59" si="4">+$J$62*D49/$D$62</f>
        <v>183.33151793160968</v>
      </c>
      <c r="K49">
        <f t="shared" si="2"/>
        <v>52799.477164303586</v>
      </c>
      <c r="P49">
        <f t="shared" si="3"/>
        <v>8866.4637599999987</v>
      </c>
    </row>
    <row r="50" spans="2:19" x14ac:dyDescent="0.55000000000000004">
      <c r="B50">
        <v>3</v>
      </c>
      <c r="D50" s="1">
        <v>84.95</v>
      </c>
      <c r="E50" s="1">
        <v>113.408</v>
      </c>
      <c r="F50" s="1">
        <v>200</v>
      </c>
      <c r="G50" s="1">
        <v>75</v>
      </c>
      <c r="H50">
        <f t="shared" si="0"/>
        <v>2573</v>
      </c>
      <c r="I50" s="1">
        <f t="shared" si="1"/>
        <v>514600</v>
      </c>
      <c r="J50">
        <f t="shared" si="4"/>
        <v>205.05612176814014</v>
      </c>
      <c r="K50">
        <f t="shared" si="2"/>
        <v>41011.224353628029</v>
      </c>
      <c r="P50">
        <f t="shared" si="3"/>
        <v>6861.1840000000002</v>
      </c>
    </row>
    <row r="51" spans="2:19" x14ac:dyDescent="0.55000000000000004">
      <c r="B51">
        <v>4</v>
      </c>
      <c r="C51" t="s">
        <v>194</v>
      </c>
      <c r="D51" s="42">
        <f t="shared" ref="D51:D56" si="5">+$D$50*E51/$E$50</f>
        <v>94.950022044300226</v>
      </c>
      <c r="E51" s="1">
        <v>126.758</v>
      </c>
      <c r="F51" s="1">
        <v>260</v>
      </c>
      <c r="G51" s="1">
        <v>72.75</v>
      </c>
      <c r="H51">
        <f t="shared" si="0"/>
        <v>2790</v>
      </c>
      <c r="I51" s="1">
        <f t="shared" si="1"/>
        <v>725400</v>
      </c>
      <c r="J51">
        <f t="shared" si="4"/>
        <v>229.1946236869172</v>
      </c>
      <c r="K51">
        <f t="shared" si="2"/>
        <v>59590.602158598471</v>
      </c>
      <c r="P51">
        <f t="shared" si="3"/>
        <v>9969.5166999999983</v>
      </c>
    </row>
    <row r="52" spans="2:19" x14ac:dyDescent="0.55000000000000004">
      <c r="B52">
        <v>5</v>
      </c>
      <c r="D52" s="42">
        <f t="shared" si="5"/>
        <v>105.95004629303048</v>
      </c>
      <c r="E52" s="1">
        <v>141.44300000000001</v>
      </c>
      <c r="F52" s="1">
        <v>150</v>
      </c>
      <c r="G52" s="1">
        <v>72.75</v>
      </c>
      <c r="H52">
        <f t="shared" si="0"/>
        <v>3113</v>
      </c>
      <c r="I52" s="1">
        <f t="shared" si="1"/>
        <v>466950</v>
      </c>
      <c r="J52">
        <f t="shared" si="4"/>
        <v>255.74697579757199</v>
      </c>
      <c r="K52">
        <f t="shared" si="2"/>
        <v>38362.046369635798</v>
      </c>
      <c r="P52">
        <f t="shared" si="3"/>
        <v>6417.9761250000001</v>
      </c>
    </row>
    <row r="53" spans="2:19" x14ac:dyDescent="0.55000000000000004">
      <c r="B53">
        <v>6</v>
      </c>
      <c r="D53" s="42">
        <f t="shared" si="5"/>
        <v>112.95006172404065</v>
      </c>
      <c r="E53" s="1">
        <v>150.78800000000001</v>
      </c>
      <c r="F53" s="1">
        <v>112</v>
      </c>
      <c r="G53" s="1">
        <v>72</v>
      </c>
      <c r="H53">
        <f t="shared" si="0"/>
        <v>3284</v>
      </c>
      <c r="I53" s="1">
        <f t="shared" si="1"/>
        <v>367808</v>
      </c>
      <c r="J53">
        <f t="shared" si="4"/>
        <v>272.64392714071596</v>
      </c>
      <c r="K53">
        <f t="shared" si="2"/>
        <v>30536.119839760187</v>
      </c>
      <c r="P53">
        <f t="shared" si="3"/>
        <v>5108.6974399999999</v>
      </c>
    </row>
    <row r="54" spans="2:19" x14ac:dyDescent="0.55000000000000004">
      <c r="B54">
        <v>7</v>
      </c>
      <c r="D54" s="42">
        <f t="shared" si="5"/>
        <v>126.95009258606096</v>
      </c>
      <c r="E54" s="1">
        <v>169.47800000000001</v>
      </c>
      <c r="F54" s="1">
        <v>130</v>
      </c>
      <c r="G54" s="1">
        <v>71.25</v>
      </c>
      <c r="H54">
        <f t="shared" si="0"/>
        <v>3653</v>
      </c>
      <c r="I54" s="1">
        <f t="shared" si="1"/>
        <v>474890</v>
      </c>
      <c r="J54">
        <f t="shared" si="4"/>
        <v>306.43782982700384</v>
      </c>
      <c r="K54">
        <f t="shared" si="2"/>
        <v>39836.917877510496</v>
      </c>
      <c r="P54">
        <f t="shared" si="3"/>
        <v>6664.72235</v>
      </c>
    </row>
    <row r="55" spans="2:19" x14ac:dyDescent="0.55000000000000004">
      <c r="B55">
        <v>8</v>
      </c>
      <c r="D55" s="42">
        <f t="shared" si="5"/>
        <v>138.95011903922122</v>
      </c>
      <c r="E55" s="1">
        <v>185.49799999999999</v>
      </c>
      <c r="F55" s="1">
        <v>91</v>
      </c>
      <c r="G55" s="1">
        <v>68.25</v>
      </c>
      <c r="H55">
        <f t="shared" si="0"/>
        <v>3830</v>
      </c>
      <c r="I55" s="1">
        <f t="shared" si="1"/>
        <v>348530</v>
      </c>
      <c r="J55">
        <f t="shared" si="4"/>
        <v>335.40403212953629</v>
      </c>
      <c r="K55">
        <f t="shared" si="2"/>
        <v>30521.766923787804</v>
      </c>
      <c r="P55">
        <f t="shared" si="3"/>
        <v>5106.2961949999999</v>
      </c>
    </row>
    <row r="56" spans="2:19" x14ac:dyDescent="0.55000000000000004">
      <c r="B56">
        <v>9</v>
      </c>
      <c r="D56" s="42">
        <f t="shared" si="5"/>
        <v>150.95014549238147</v>
      </c>
      <c r="E56" s="1">
        <v>201.518</v>
      </c>
      <c r="F56" s="1">
        <v>5</v>
      </c>
      <c r="G56" s="1">
        <v>112.5</v>
      </c>
      <c r="H56">
        <f t="shared" si="0"/>
        <v>6858</v>
      </c>
      <c r="I56" s="1">
        <f t="shared" si="1"/>
        <v>34290</v>
      </c>
      <c r="J56">
        <f t="shared" si="4"/>
        <v>364.37023443206874</v>
      </c>
      <c r="K56">
        <f t="shared" si="2"/>
        <v>1821.8511721603436</v>
      </c>
      <c r="P56">
        <f t="shared" si="3"/>
        <v>304.795975</v>
      </c>
    </row>
    <row r="57" spans="2:19" x14ac:dyDescent="0.55000000000000004">
      <c r="E57">
        <f>+SUMPRODUCT(E48:E56,F48:F56)</f>
        <v>192667.386</v>
      </c>
      <c r="J57">
        <f t="shared" si="4"/>
        <v>0</v>
      </c>
      <c r="K57">
        <f t="shared" si="2"/>
        <v>0</v>
      </c>
      <c r="M57" t="s">
        <v>352</v>
      </c>
      <c r="N57">
        <f>+SUM(I48:I56)</f>
        <v>4271140</v>
      </c>
      <c r="O57" t="s">
        <v>353</v>
      </c>
      <c r="P57">
        <f>+SUM(P48:P56)</f>
        <v>58281.884265000001</v>
      </c>
      <c r="Q57" t="s">
        <v>39</v>
      </c>
      <c r="R57" s="43">
        <f>+N57/P57</f>
        <v>73.284178331978637</v>
      </c>
      <c r="S57" s="5" t="s">
        <v>354</v>
      </c>
    </row>
    <row r="58" spans="2:19" x14ac:dyDescent="0.55000000000000004">
      <c r="B58" t="s">
        <v>198</v>
      </c>
      <c r="C58" t="s">
        <v>192</v>
      </c>
      <c r="D58" s="1">
        <v>59.95</v>
      </c>
      <c r="E58" s="1">
        <v>80.332999999999998</v>
      </c>
      <c r="F58" s="1">
        <v>205</v>
      </c>
      <c r="G58" s="1">
        <v>75</v>
      </c>
      <c r="H58">
        <f>+ROUND(G58*E58*0.3025,0)</f>
        <v>1823</v>
      </c>
      <c r="I58" s="1">
        <f>+H58*F58</f>
        <v>373715</v>
      </c>
      <c r="J58">
        <f t="shared" si="4"/>
        <v>144.71</v>
      </c>
      <c r="K58">
        <f t="shared" si="2"/>
        <v>29665.550000000003</v>
      </c>
      <c r="P58">
        <f>+E58*0.3025*F58</f>
        <v>4981.6501625000001</v>
      </c>
      <c r="R58" s="22"/>
    </row>
    <row r="59" spans="2:19" x14ac:dyDescent="0.55000000000000004">
      <c r="C59" t="s">
        <v>193</v>
      </c>
      <c r="D59" s="1">
        <v>84.95</v>
      </c>
      <c r="E59" s="1">
        <v>113.408</v>
      </c>
      <c r="F59" s="1">
        <v>20</v>
      </c>
      <c r="G59" s="1">
        <v>75</v>
      </c>
      <c r="H59">
        <f>+ROUND(G59*E59*0.3025,0)</f>
        <v>2573</v>
      </c>
      <c r="I59" s="1">
        <f>+H59*F59</f>
        <v>51460</v>
      </c>
      <c r="J59">
        <f t="shared" si="4"/>
        <v>205.05612176814014</v>
      </c>
      <c r="K59">
        <f t="shared" si="2"/>
        <v>4101.1224353628031</v>
      </c>
      <c r="P59">
        <f>+E59*0.3025*F59</f>
        <v>686.11840000000007</v>
      </c>
      <c r="R59" s="22"/>
    </row>
    <row r="60" spans="2:19" x14ac:dyDescent="0.55000000000000004">
      <c r="K60">
        <f t="shared" si="2"/>
        <v>0</v>
      </c>
      <c r="M60" t="s">
        <v>355</v>
      </c>
      <c r="N60">
        <f>+SUM(I58:I59)</f>
        <v>425175</v>
      </c>
      <c r="O60" t="s">
        <v>356</v>
      </c>
      <c r="P60">
        <f>+P58+P59</f>
        <v>5667.7685625000004</v>
      </c>
      <c r="Q60" t="s">
        <v>39</v>
      </c>
      <c r="R60" s="43">
        <f>+N60/P60</f>
        <v>75.016295268849021</v>
      </c>
    </row>
    <row r="61" spans="2:19" x14ac:dyDescent="0.55000000000000004">
      <c r="B61" t="s">
        <v>346</v>
      </c>
      <c r="K61">
        <f t="shared" si="2"/>
        <v>0</v>
      </c>
      <c r="R61" s="1"/>
    </row>
    <row r="62" spans="2:19" x14ac:dyDescent="0.55000000000000004">
      <c r="C62" t="s">
        <v>192</v>
      </c>
      <c r="D62" s="1">
        <v>59.95</v>
      </c>
      <c r="E62" s="1">
        <v>80.332999999999998</v>
      </c>
      <c r="F62" s="1">
        <v>85</v>
      </c>
      <c r="J62" s="1">
        <v>144.71</v>
      </c>
      <c r="K62">
        <f t="shared" si="2"/>
        <v>12300.35</v>
      </c>
      <c r="R62" s="1"/>
    </row>
    <row r="63" spans="2:19" x14ac:dyDescent="0.55000000000000004">
      <c r="K63">
        <f t="shared" si="2"/>
        <v>0</v>
      </c>
      <c r="R63" s="1"/>
    </row>
    <row r="64" spans="2:19" x14ac:dyDescent="0.55000000000000004">
      <c r="K64">
        <f t="shared" si="2"/>
        <v>0</v>
      </c>
    </row>
    <row r="65" spans="2:18" x14ac:dyDescent="0.55000000000000004">
      <c r="B65" t="s">
        <v>347</v>
      </c>
      <c r="K65">
        <f t="shared" si="2"/>
        <v>0</v>
      </c>
    </row>
    <row r="66" spans="2:18" x14ac:dyDescent="0.55000000000000004">
      <c r="C66" t="s">
        <v>192</v>
      </c>
      <c r="D66" s="1">
        <v>59.95</v>
      </c>
      <c r="E66" s="1">
        <v>80.332999999999998</v>
      </c>
      <c r="F66" s="1">
        <v>118</v>
      </c>
      <c r="J66" s="1">
        <v>144.71</v>
      </c>
      <c r="K66">
        <f t="shared" si="2"/>
        <v>17075.780000000002</v>
      </c>
    </row>
    <row r="67" spans="2:18" x14ac:dyDescent="0.55000000000000004">
      <c r="C67" t="s">
        <v>193</v>
      </c>
      <c r="D67" s="1">
        <v>65.95</v>
      </c>
      <c r="E67" s="1">
        <v>88.373000000000005</v>
      </c>
      <c r="F67" s="1">
        <v>24</v>
      </c>
      <c r="J67">
        <f t="shared" ref="J67:J69" si="6">+$J$62*D67/$D$62</f>
        <v>159.19306922435365</v>
      </c>
      <c r="K67">
        <f t="shared" si="2"/>
        <v>3820.6336613844878</v>
      </c>
    </row>
    <row r="68" spans="2:18" x14ac:dyDescent="0.55000000000000004">
      <c r="D68" s="1">
        <v>75.95</v>
      </c>
      <c r="E68" s="1">
        <v>101.773</v>
      </c>
      <c r="F68" s="1">
        <v>18</v>
      </c>
      <c r="J68">
        <f t="shared" si="6"/>
        <v>183.33151793160968</v>
      </c>
      <c r="K68">
        <f t="shared" si="2"/>
        <v>3299.9673227689741</v>
      </c>
    </row>
    <row r="69" spans="2:18" x14ac:dyDescent="0.55000000000000004">
      <c r="D69" s="1">
        <v>84.95</v>
      </c>
      <c r="E69" s="1">
        <v>113.408</v>
      </c>
      <c r="F69" s="1">
        <v>15</v>
      </c>
      <c r="I69" s="20"/>
      <c r="J69">
        <f t="shared" si="6"/>
        <v>205.05612176814014</v>
      </c>
      <c r="K69">
        <f t="shared" si="2"/>
        <v>3075.8418265221021</v>
      </c>
    </row>
    <row r="70" spans="2:18" x14ac:dyDescent="0.55000000000000004">
      <c r="C70" t="s">
        <v>357</v>
      </c>
      <c r="I70" s="9">
        <v>26328.799999999999</v>
      </c>
      <c r="N70" t="s">
        <v>358</v>
      </c>
      <c r="O70" t="s">
        <v>359</v>
      </c>
      <c r="P70" t="s">
        <v>360</v>
      </c>
    </row>
    <row r="71" spans="2:18" x14ac:dyDescent="0.55000000000000004">
      <c r="B71" t="s">
        <v>361</v>
      </c>
      <c r="G71">
        <f>+I71/(K71*0.3025)</f>
        <v>80.244510298367359</v>
      </c>
      <c r="I71" s="9">
        <v>108990.1</v>
      </c>
      <c r="K71">
        <v>4490</v>
      </c>
      <c r="L71" s="5" t="s">
        <v>362</v>
      </c>
      <c r="N71">
        <v>16355</v>
      </c>
      <c r="O71">
        <f t="shared" ref="O71:O76" si="7">+N71*0.7533</f>
        <v>12320.2215</v>
      </c>
      <c r="P71">
        <v>2714</v>
      </c>
    </row>
    <row r="72" spans="2:18" x14ac:dyDescent="0.55000000000000004">
      <c r="I72" s="44">
        <f>+SUM(I48:I71)</f>
        <v>4831633.8999999994</v>
      </c>
      <c r="K72">
        <f>+SUM(K48:K71)</f>
        <v>425798.12236480584</v>
      </c>
      <c r="L72" s="14" t="s">
        <v>363</v>
      </c>
      <c r="N72">
        <v>40184</v>
      </c>
      <c r="O72">
        <f t="shared" si="7"/>
        <v>30270.607199999999</v>
      </c>
      <c r="P72">
        <v>21929</v>
      </c>
    </row>
    <row r="73" spans="2:18" x14ac:dyDescent="0.55000000000000004">
      <c r="B73" s="45"/>
      <c r="N73">
        <v>18083</v>
      </c>
      <c r="O73">
        <f t="shared" si="7"/>
        <v>13621.9239</v>
      </c>
      <c r="P73">
        <v>9868</v>
      </c>
    </row>
    <row r="74" spans="2:18" x14ac:dyDescent="0.55000000000000004">
      <c r="N74">
        <v>14064</v>
      </c>
      <c r="O74">
        <f t="shared" si="7"/>
        <v>10594.4112</v>
      </c>
      <c r="P74">
        <v>7675</v>
      </c>
    </row>
    <row r="75" spans="2:18" x14ac:dyDescent="0.55000000000000004">
      <c r="N75">
        <v>10046</v>
      </c>
      <c r="O75">
        <f t="shared" si="7"/>
        <v>7567.6517999999996</v>
      </c>
      <c r="P75">
        <v>2398</v>
      </c>
    </row>
    <row r="76" spans="2:18" x14ac:dyDescent="0.55000000000000004">
      <c r="L76" s="14" t="s">
        <v>364</v>
      </c>
      <c r="M76" s="46">
        <f>+N19</f>
        <v>446865.02</v>
      </c>
      <c r="N76">
        <f>+SUM(N71:N75)</f>
        <v>98732</v>
      </c>
      <c r="O76">
        <f t="shared" si="7"/>
        <v>74374.815600000002</v>
      </c>
      <c r="P76">
        <f>+O76*0.7533</f>
        <v>56026.548591480001</v>
      </c>
      <c r="Q76">
        <f>+O76+P76</f>
        <v>130401.36419148001</v>
      </c>
      <c r="R76" t="s">
        <v>365</v>
      </c>
    </row>
    <row r="77" spans="2:18" x14ac:dyDescent="0.55000000000000004">
      <c r="L77" s="14" t="s">
        <v>366</v>
      </c>
      <c r="M77" s="46">
        <f>+M76-K72</f>
        <v>21066.897635194182</v>
      </c>
    </row>
    <row r="78" spans="2:18" x14ac:dyDescent="0.55000000000000004">
      <c r="K78">
        <f>+E19</f>
        <v>446865.02</v>
      </c>
      <c r="L78" s="14" t="s">
        <v>367</v>
      </c>
      <c r="N78" t="s">
        <v>368</v>
      </c>
      <c r="O78" s="1">
        <v>900</v>
      </c>
    </row>
    <row r="79" spans="2:18" x14ac:dyDescent="0.55000000000000004">
      <c r="N79" t="s">
        <v>369</v>
      </c>
      <c r="O79" s="1">
        <v>1200</v>
      </c>
    </row>
    <row r="80" spans="2:18" x14ac:dyDescent="0.55000000000000004">
      <c r="N80" t="s">
        <v>370</v>
      </c>
      <c r="O80" s="1">
        <v>1000</v>
      </c>
    </row>
    <row r="81" spans="1:18" x14ac:dyDescent="0.55000000000000004">
      <c r="N81" t="s">
        <v>371</v>
      </c>
      <c r="O81">
        <v>6340</v>
      </c>
      <c r="P81" t="s">
        <v>372</v>
      </c>
      <c r="Q81" s="1">
        <v>6000</v>
      </c>
      <c r="R81" s="1"/>
    </row>
    <row r="82" spans="1:18" x14ac:dyDescent="0.55000000000000004">
      <c r="P82" t="s">
        <v>373</v>
      </c>
      <c r="Q82">
        <v>340</v>
      </c>
    </row>
    <row r="83" spans="1:18" x14ac:dyDescent="0.55000000000000004">
      <c r="N83" t="s">
        <v>374</v>
      </c>
      <c r="O83">
        <v>1940</v>
      </c>
      <c r="P83" t="s">
        <v>373</v>
      </c>
    </row>
    <row r="84" spans="1:18" x14ac:dyDescent="0.55000000000000004">
      <c r="N84" t="s">
        <v>375</v>
      </c>
      <c r="O84" s="1">
        <v>600</v>
      </c>
    </row>
    <row r="85" spans="1:18" x14ac:dyDescent="0.55000000000000004">
      <c r="N85" t="s">
        <v>376</v>
      </c>
      <c r="O85" s="1">
        <v>1000</v>
      </c>
    </row>
    <row r="86" spans="1:18" x14ac:dyDescent="0.55000000000000004">
      <c r="N86" t="s">
        <v>377</v>
      </c>
      <c r="O86" s="1">
        <v>1000</v>
      </c>
    </row>
    <row r="87" spans="1:18" x14ac:dyDescent="0.55000000000000004">
      <c r="N87" t="s">
        <v>378</v>
      </c>
      <c r="O87" s="1">
        <v>2400</v>
      </c>
    </row>
    <row r="88" spans="1:18" x14ac:dyDescent="0.55000000000000004">
      <c r="N88" t="s">
        <v>379</v>
      </c>
      <c r="O88" s="1">
        <v>400</v>
      </c>
    </row>
    <row r="89" spans="1:18" x14ac:dyDescent="0.55000000000000004">
      <c r="N89" t="s">
        <v>380</v>
      </c>
      <c r="O89" s="1">
        <v>120</v>
      </c>
    </row>
    <row r="90" spans="1:18" x14ac:dyDescent="0.55000000000000004">
      <c r="O90" s="3">
        <f>+SUM(O78:O89)-Q82-O83</f>
        <v>14620</v>
      </c>
      <c r="Q90" t="s">
        <v>381</v>
      </c>
    </row>
    <row r="93" spans="1:18" s="14" customFormat="1" x14ac:dyDescent="0.55000000000000004">
      <c r="A93" s="14" t="s">
        <v>239</v>
      </c>
    </row>
    <row r="95" spans="1:18" x14ac:dyDescent="0.55000000000000004">
      <c r="B95" t="s">
        <v>240</v>
      </c>
    </row>
    <row r="96" spans="1:18" x14ac:dyDescent="0.55000000000000004">
      <c r="B96" t="s">
        <v>240</v>
      </c>
      <c r="C96" t="s">
        <v>241</v>
      </c>
      <c r="D96" t="s">
        <v>241</v>
      </c>
      <c r="E96" t="s">
        <v>271</v>
      </c>
      <c r="F96" t="s">
        <v>332</v>
      </c>
    </row>
    <row r="97" spans="1:11" x14ac:dyDescent="0.55000000000000004">
      <c r="C97" t="s">
        <v>382</v>
      </c>
      <c r="D97">
        <v>68.91</v>
      </c>
    </row>
    <row r="98" spans="1:11" x14ac:dyDescent="0.55000000000000004">
      <c r="D98">
        <v>79.42</v>
      </c>
    </row>
    <row r="99" spans="1:11" x14ac:dyDescent="0.55000000000000004">
      <c r="D99">
        <v>92.2</v>
      </c>
    </row>
    <row r="100" spans="1:11" x14ac:dyDescent="0.55000000000000004">
      <c r="D100">
        <v>93.7</v>
      </c>
    </row>
    <row r="102" spans="1:11" ht="28.3" x14ac:dyDescent="0.55000000000000004">
      <c r="B102" s="47" t="s">
        <v>383</v>
      </c>
      <c r="C102" s="71" t="s">
        <v>36</v>
      </c>
      <c r="D102" s="47" t="s">
        <v>384</v>
      </c>
      <c r="E102" s="47" t="s">
        <v>385</v>
      </c>
      <c r="F102" s="47" t="s">
        <v>386</v>
      </c>
      <c r="G102" s="47" t="s">
        <v>387</v>
      </c>
      <c r="H102" s="47" t="s">
        <v>37</v>
      </c>
      <c r="I102" s="47" t="s">
        <v>388</v>
      </c>
      <c r="J102" s="47" t="s">
        <v>389</v>
      </c>
      <c r="K102" s="47" t="s">
        <v>390</v>
      </c>
    </row>
    <row r="103" spans="1:11" x14ac:dyDescent="0.55000000000000004">
      <c r="A103">
        <v>1</v>
      </c>
      <c r="B103" s="47" t="s">
        <v>391</v>
      </c>
      <c r="C103" s="34">
        <v>68.91</v>
      </c>
      <c r="D103" s="48">
        <v>68.91</v>
      </c>
      <c r="E103" s="48">
        <v>74.150000000000006</v>
      </c>
      <c r="F103" s="48">
        <v>74.150000000000006</v>
      </c>
      <c r="G103" s="48">
        <v>37.04</v>
      </c>
      <c r="H103" s="48">
        <v>336</v>
      </c>
      <c r="I103" s="49">
        <v>2050</v>
      </c>
      <c r="J103" s="50">
        <f t="shared" ref="J103:J110" si="8">+I103*H103</f>
        <v>688800</v>
      </c>
      <c r="K103" s="34"/>
    </row>
    <row r="104" spans="1:11" x14ac:dyDescent="0.55000000000000004">
      <c r="A104">
        <v>2</v>
      </c>
      <c r="B104" s="34"/>
      <c r="C104" s="34">
        <v>79.42</v>
      </c>
      <c r="D104" s="48">
        <v>79.42</v>
      </c>
      <c r="E104" s="48">
        <v>85.52</v>
      </c>
      <c r="F104" s="48">
        <v>85.52</v>
      </c>
      <c r="G104" s="48">
        <v>43.08</v>
      </c>
      <c r="H104" s="48">
        <v>288</v>
      </c>
      <c r="I104" s="49">
        <v>2350</v>
      </c>
      <c r="J104" s="50">
        <f t="shared" si="8"/>
        <v>676800</v>
      </c>
      <c r="K104" s="34"/>
    </row>
    <row r="105" spans="1:11" x14ac:dyDescent="0.55000000000000004">
      <c r="A105">
        <v>3</v>
      </c>
      <c r="B105" s="34"/>
      <c r="C105" s="34">
        <v>92.2</v>
      </c>
      <c r="D105" s="48">
        <v>92.2</v>
      </c>
      <c r="E105" s="48">
        <v>99.13</v>
      </c>
      <c r="F105" s="48">
        <v>99.13</v>
      </c>
      <c r="G105" s="48">
        <v>49.84</v>
      </c>
      <c r="H105" s="48">
        <v>192</v>
      </c>
      <c r="I105" s="49">
        <v>2870</v>
      </c>
      <c r="J105" s="50">
        <f t="shared" si="8"/>
        <v>551040</v>
      </c>
      <c r="K105" s="34"/>
    </row>
    <row r="106" spans="1:11" x14ac:dyDescent="0.55000000000000004">
      <c r="A106">
        <v>4</v>
      </c>
      <c r="B106" s="34"/>
      <c r="C106" s="34">
        <v>93.71</v>
      </c>
      <c r="D106" s="48">
        <v>93.71</v>
      </c>
      <c r="E106" s="48">
        <v>100.92</v>
      </c>
      <c r="F106" s="48">
        <v>100.92</v>
      </c>
      <c r="G106" s="48">
        <v>49.84</v>
      </c>
      <c r="H106" s="48">
        <v>144</v>
      </c>
      <c r="I106" s="49">
        <v>2870</v>
      </c>
      <c r="J106" s="50">
        <f t="shared" si="8"/>
        <v>413280</v>
      </c>
      <c r="K106" s="34"/>
    </row>
    <row r="107" spans="1:11" x14ac:dyDescent="0.55000000000000004">
      <c r="A107">
        <v>5</v>
      </c>
      <c r="B107" s="34"/>
      <c r="C107" s="34">
        <v>107.31</v>
      </c>
      <c r="D107" s="48">
        <v>107.31</v>
      </c>
      <c r="E107" s="48">
        <v>115.58</v>
      </c>
      <c r="F107" s="48">
        <v>115.58</v>
      </c>
      <c r="G107" s="48">
        <v>57.78</v>
      </c>
      <c r="H107" s="48">
        <v>360</v>
      </c>
      <c r="I107" s="49">
        <v>3150</v>
      </c>
      <c r="J107" s="50">
        <f t="shared" si="8"/>
        <v>1134000</v>
      </c>
      <c r="K107" s="34"/>
    </row>
    <row r="108" spans="1:11" x14ac:dyDescent="0.55000000000000004">
      <c r="A108">
        <v>6</v>
      </c>
      <c r="B108" s="34"/>
      <c r="C108" s="34">
        <v>135.97</v>
      </c>
      <c r="D108" s="48">
        <v>135.97</v>
      </c>
      <c r="E108" s="48">
        <v>146.49</v>
      </c>
      <c r="F108" s="48">
        <v>146.49</v>
      </c>
      <c r="G108" s="48">
        <v>74.680000000000007</v>
      </c>
      <c r="H108" s="48">
        <v>60</v>
      </c>
      <c r="I108" s="49">
        <v>3850</v>
      </c>
      <c r="J108" s="50">
        <f t="shared" si="8"/>
        <v>231000</v>
      </c>
      <c r="K108" s="34"/>
    </row>
    <row r="109" spans="1:11" x14ac:dyDescent="0.55000000000000004">
      <c r="A109">
        <v>7</v>
      </c>
      <c r="B109" s="34"/>
      <c r="C109" s="34">
        <v>137.66</v>
      </c>
      <c r="D109" s="48">
        <v>137.66</v>
      </c>
      <c r="E109" s="48">
        <v>147.5</v>
      </c>
      <c r="F109" s="48">
        <v>147.5</v>
      </c>
      <c r="G109" s="48">
        <v>74.680000000000007</v>
      </c>
      <c r="H109" s="48">
        <v>96</v>
      </c>
      <c r="I109" s="49">
        <v>3850</v>
      </c>
      <c r="J109" s="50">
        <f t="shared" si="8"/>
        <v>369600</v>
      </c>
      <c r="K109" s="34"/>
    </row>
    <row r="110" spans="1:11" x14ac:dyDescent="0.55000000000000004">
      <c r="A110">
        <v>8</v>
      </c>
      <c r="B110" s="34"/>
      <c r="C110" s="34">
        <v>150.58000000000001</v>
      </c>
      <c r="D110" s="48">
        <v>150.58000000000001</v>
      </c>
      <c r="E110" s="48">
        <v>164.72</v>
      </c>
      <c r="F110" s="48">
        <v>164.72</v>
      </c>
      <c r="G110" s="48">
        <v>84.01</v>
      </c>
      <c r="H110" s="48">
        <v>96</v>
      </c>
      <c r="I110" s="49">
        <v>4250</v>
      </c>
      <c r="J110" s="50">
        <f t="shared" si="8"/>
        <v>408000</v>
      </c>
      <c r="K110" s="34"/>
    </row>
    <row r="111" spans="1:11" x14ac:dyDescent="0.55000000000000004">
      <c r="B111" s="34"/>
      <c r="C111" s="47" t="s">
        <v>392</v>
      </c>
      <c r="D111" s="51">
        <v>151684.20000000001</v>
      </c>
      <c r="E111" s="52">
        <v>163480.92000000001</v>
      </c>
      <c r="F111" s="52">
        <v>163480.92000000001</v>
      </c>
      <c r="G111" s="51">
        <v>82114.559999999998</v>
      </c>
      <c r="H111" s="49">
        <v>1572</v>
      </c>
      <c r="I111" s="48" t="s">
        <v>393</v>
      </c>
      <c r="J111" s="50">
        <f>+SUM(J103:J110)</f>
        <v>4472520</v>
      </c>
      <c r="K111" s="34"/>
    </row>
    <row r="112" spans="1:11" ht="28.3" x14ac:dyDescent="0.55000000000000004">
      <c r="B112" s="47" t="s">
        <v>394</v>
      </c>
      <c r="C112" s="34" t="s">
        <v>395</v>
      </c>
      <c r="D112" s="48">
        <v>880.41</v>
      </c>
      <c r="E112" s="48" t="s">
        <v>393</v>
      </c>
      <c r="F112" s="51">
        <v>1126.3499999999999</v>
      </c>
      <c r="G112" s="48" t="s">
        <v>393</v>
      </c>
      <c r="H112" s="48">
        <v>32</v>
      </c>
      <c r="I112" s="48">
        <v>511</v>
      </c>
      <c r="J112" s="50">
        <f>+I112*H112</f>
        <v>16352</v>
      </c>
      <c r="K112" s="34" t="s">
        <v>396</v>
      </c>
    </row>
    <row r="113" spans="1:11" x14ac:dyDescent="0.55000000000000004">
      <c r="B113" s="34"/>
      <c r="C113" s="34" t="s">
        <v>397</v>
      </c>
      <c r="D113" s="48">
        <v>779.18</v>
      </c>
      <c r="E113" s="48" t="s">
        <v>393</v>
      </c>
      <c r="F113" s="51">
        <v>1107</v>
      </c>
      <c r="G113" s="48" t="s">
        <v>393</v>
      </c>
      <c r="H113" s="48">
        <v>35</v>
      </c>
      <c r="I113" s="49">
        <v>1148</v>
      </c>
      <c r="J113" s="50">
        <f>+I113*H113</f>
        <v>40180</v>
      </c>
      <c r="K113" s="34"/>
    </row>
    <row r="114" spans="1:11" x14ac:dyDescent="0.55000000000000004">
      <c r="B114" s="34"/>
      <c r="C114" s="34" t="s">
        <v>398</v>
      </c>
      <c r="D114" s="48">
        <v>886.33</v>
      </c>
      <c r="E114" s="48" t="s">
        <v>393</v>
      </c>
      <c r="F114" s="51">
        <v>1107</v>
      </c>
      <c r="G114" s="48" t="s">
        <v>393</v>
      </c>
      <c r="H114" s="48">
        <v>10</v>
      </c>
      <c r="I114" s="49">
        <v>1808</v>
      </c>
      <c r="J114" s="50">
        <f>+I114*H114</f>
        <v>18080</v>
      </c>
      <c r="K114" s="34"/>
    </row>
    <row r="115" spans="1:11" x14ac:dyDescent="0.55000000000000004">
      <c r="B115" s="34"/>
      <c r="C115" s="34" t="s">
        <v>399</v>
      </c>
      <c r="D115" s="48">
        <v>783.96</v>
      </c>
      <c r="E115" s="48" t="s">
        <v>393</v>
      </c>
      <c r="F115" s="51">
        <v>1107</v>
      </c>
      <c r="G115" s="48" t="s">
        <v>393</v>
      </c>
      <c r="H115" s="48">
        <v>22</v>
      </c>
      <c r="I115" s="48">
        <v>639</v>
      </c>
      <c r="J115" s="50">
        <f>+I115*H115</f>
        <v>14058</v>
      </c>
      <c r="K115" s="34"/>
    </row>
    <row r="116" spans="1:11" x14ac:dyDescent="0.55000000000000004">
      <c r="B116" s="34"/>
      <c r="C116" s="34" t="s">
        <v>400</v>
      </c>
      <c r="D116" s="48">
        <v>858.89</v>
      </c>
      <c r="E116" s="48" t="s">
        <v>393</v>
      </c>
      <c r="F116" s="51">
        <v>1107</v>
      </c>
      <c r="G116" s="48" t="s">
        <v>393</v>
      </c>
      <c r="H116" s="48">
        <v>12</v>
      </c>
      <c r="I116" s="48">
        <v>837</v>
      </c>
      <c r="J116" s="50">
        <f>+I116*H116</f>
        <v>10044</v>
      </c>
      <c r="K116" s="34"/>
    </row>
    <row r="117" spans="1:11" x14ac:dyDescent="0.55000000000000004">
      <c r="B117" s="34"/>
      <c r="C117" s="47" t="s">
        <v>401</v>
      </c>
      <c r="D117" s="51">
        <v>4188.7700000000004</v>
      </c>
      <c r="E117" s="48" t="s">
        <v>393</v>
      </c>
      <c r="F117" s="51">
        <v>5554.35</v>
      </c>
      <c r="G117" s="51">
        <v>3304.67</v>
      </c>
      <c r="H117" s="48">
        <v>110</v>
      </c>
      <c r="I117" s="34" t="s">
        <v>393</v>
      </c>
      <c r="J117" s="50">
        <f>+SUM(J112:J116)</f>
        <v>98714</v>
      </c>
      <c r="K117" s="34"/>
    </row>
    <row r="118" spans="1:11" ht="28.3" x14ac:dyDescent="0.55000000000000004">
      <c r="B118" s="47" t="s">
        <v>402</v>
      </c>
      <c r="C118" s="34"/>
      <c r="D118" s="53">
        <v>155872.97</v>
      </c>
      <c r="E118" s="34" t="s">
        <v>393</v>
      </c>
      <c r="F118" s="53">
        <v>169035.27</v>
      </c>
      <c r="G118" s="53">
        <v>85419.23</v>
      </c>
      <c r="H118" s="50">
        <v>1682</v>
      </c>
      <c r="I118" s="34" t="s">
        <v>393</v>
      </c>
      <c r="J118" s="54">
        <f>+J117+J111</f>
        <v>4571234</v>
      </c>
      <c r="K118" s="34"/>
    </row>
    <row r="120" spans="1:11" x14ac:dyDescent="0.55000000000000004">
      <c r="B120" t="s">
        <v>247</v>
      </c>
    </row>
    <row r="121" spans="1:11" x14ac:dyDescent="0.55000000000000004">
      <c r="D121" t="s">
        <v>248</v>
      </c>
      <c r="E121" t="s">
        <v>154</v>
      </c>
      <c r="F121" t="s">
        <v>155</v>
      </c>
      <c r="G121" t="s">
        <v>247</v>
      </c>
    </row>
    <row r="122" spans="1:11" x14ac:dyDescent="0.55000000000000004">
      <c r="D122" s="46">
        <f>+N19</f>
        <v>446865.02</v>
      </c>
      <c r="E122" s="3">
        <f>+G122/1.3</f>
        <v>1067846.1538461538</v>
      </c>
      <c r="F122" s="3">
        <f>+E122*0.3</f>
        <v>320353.84615384613</v>
      </c>
      <c r="G122" s="35">
        <v>1388200</v>
      </c>
    </row>
    <row r="123" spans="1:11" x14ac:dyDescent="0.55000000000000004">
      <c r="E123" t="s">
        <v>250</v>
      </c>
    </row>
    <row r="124" spans="1:11" x14ac:dyDescent="0.55000000000000004">
      <c r="E124" s="11">
        <f>+E122/(D122*0.3025)</f>
        <v>7.8996336076382301</v>
      </c>
      <c r="F124" s="5" t="s">
        <v>403</v>
      </c>
    </row>
    <row r="126" spans="1:11" x14ac:dyDescent="0.55000000000000004">
      <c r="A126" t="s">
        <v>404</v>
      </c>
      <c r="B126" t="s">
        <v>251</v>
      </c>
    </row>
    <row r="127" spans="1:11" x14ac:dyDescent="0.55000000000000004">
      <c r="A127" t="s">
        <v>404</v>
      </c>
    </row>
    <row r="128" spans="1:11" x14ac:dyDescent="0.55000000000000004">
      <c r="A128" t="s">
        <v>404</v>
      </c>
      <c r="C128" t="s">
        <v>230</v>
      </c>
      <c r="D128" t="s">
        <v>210</v>
      </c>
      <c r="E128" t="s">
        <v>195</v>
      </c>
      <c r="F128" t="s">
        <v>38</v>
      </c>
      <c r="G128" t="s">
        <v>231</v>
      </c>
      <c r="H128" t="s">
        <v>232</v>
      </c>
      <c r="I128" t="s">
        <v>233</v>
      </c>
      <c r="J128" t="s">
        <v>349</v>
      </c>
      <c r="K128" t="s">
        <v>350</v>
      </c>
    </row>
    <row r="129" spans="1:12" x14ac:dyDescent="0.55000000000000004">
      <c r="A129" t="s">
        <v>404</v>
      </c>
      <c r="B129" t="s">
        <v>196</v>
      </c>
      <c r="C129" t="s">
        <v>192</v>
      </c>
      <c r="D129" s="1"/>
      <c r="E129" s="1"/>
      <c r="G129" s="5" t="s">
        <v>405</v>
      </c>
    </row>
    <row r="130" spans="1:12" x14ac:dyDescent="0.55000000000000004">
      <c r="A130" t="s">
        <v>404</v>
      </c>
      <c r="C130" t="s">
        <v>193</v>
      </c>
      <c r="D130" s="1">
        <v>65.95</v>
      </c>
      <c r="E130" s="1">
        <v>88.373000000000005</v>
      </c>
      <c r="F130" s="1">
        <v>336</v>
      </c>
      <c r="G130" s="55">
        <f>+R57</f>
        <v>73.284178331978637</v>
      </c>
      <c r="H130">
        <f t="shared" ref="H130:H138" si="9">+ROUND(G130*E130*0.3025,0)</f>
        <v>1959</v>
      </c>
      <c r="I130" s="1">
        <f t="shared" ref="I130:I138" si="10">+H130*F130</f>
        <v>658224</v>
      </c>
      <c r="J130">
        <f>+$J$62*D130/$D$62</f>
        <v>159.19306922435365</v>
      </c>
      <c r="K130">
        <f t="shared" ref="K130:K151" si="11">+J130*F130</f>
        <v>53488.871259382824</v>
      </c>
    </row>
    <row r="131" spans="1:12" x14ac:dyDescent="0.55000000000000004">
      <c r="A131" t="s">
        <v>404</v>
      </c>
      <c r="D131" s="1">
        <v>75.95</v>
      </c>
      <c r="E131" s="1">
        <v>101.773</v>
      </c>
      <c r="F131" s="1">
        <v>288</v>
      </c>
      <c r="G131" s="28">
        <f t="shared" ref="G131:G138" si="12">+G130</f>
        <v>73.284178331978637</v>
      </c>
      <c r="H131">
        <f t="shared" si="9"/>
        <v>2256</v>
      </c>
      <c r="I131" s="1">
        <f t="shared" si="10"/>
        <v>649728</v>
      </c>
      <c r="J131">
        <f t="shared" ref="J131:J141" si="13">+$J$62*D131/$D$62</f>
        <v>183.33151793160968</v>
      </c>
      <c r="K131">
        <f t="shared" si="11"/>
        <v>52799.477164303586</v>
      </c>
    </row>
    <row r="132" spans="1:12" x14ac:dyDescent="0.55000000000000004">
      <c r="A132" t="s">
        <v>404</v>
      </c>
      <c r="D132" s="8">
        <v>84.95</v>
      </c>
      <c r="E132" s="8">
        <v>113.408</v>
      </c>
      <c r="F132" s="8">
        <v>200</v>
      </c>
      <c r="G132" s="56">
        <f t="shared" si="12"/>
        <v>73.284178331978637</v>
      </c>
      <c r="H132" s="14">
        <f t="shared" si="9"/>
        <v>2514</v>
      </c>
      <c r="I132" s="8">
        <f t="shared" si="10"/>
        <v>502800</v>
      </c>
      <c r="J132" s="14">
        <f t="shared" si="13"/>
        <v>205.05612176814014</v>
      </c>
      <c r="K132" s="14">
        <f t="shared" si="11"/>
        <v>41011.224353628029</v>
      </c>
      <c r="L132" s="14" t="s">
        <v>406</v>
      </c>
    </row>
    <row r="133" spans="1:12" x14ac:dyDescent="0.55000000000000004">
      <c r="A133" t="s">
        <v>404</v>
      </c>
      <c r="C133" t="s">
        <v>194</v>
      </c>
      <c r="D133" s="42">
        <f t="shared" ref="D133:D138" si="14">+$D$50*E133/$E$50</f>
        <v>94.950022044300226</v>
      </c>
      <c r="E133" s="1">
        <v>126.758</v>
      </c>
      <c r="F133" s="1">
        <v>260</v>
      </c>
      <c r="G133" s="28">
        <f t="shared" si="12"/>
        <v>73.284178331978637</v>
      </c>
      <c r="H133">
        <f t="shared" si="9"/>
        <v>2810</v>
      </c>
      <c r="I133" s="1">
        <f t="shared" si="10"/>
        <v>730600</v>
      </c>
      <c r="J133">
        <f t="shared" si="13"/>
        <v>229.1946236869172</v>
      </c>
      <c r="K133">
        <f t="shared" si="11"/>
        <v>59590.602158598471</v>
      </c>
    </row>
    <row r="134" spans="1:12" x14ac:dyDescent="0.55000000000000004">
      <c r="A134" t="s">
        <v>404</v>
      </c>
      <c r="D134" s="42">
        <f t="shared" si="14"/>
        <v>105.95004629303048</v>
      </c>
      <c r="E134" s="1">
        <v>141.44300000000001</v>
      </c>
      <c r="F134" s="1">
        <v>150</v>
      </c>
      <c r="G134" s="28">
        <f t="shared" si="12"/>
        <v>73.284178331978637</v>
      </c>
      <c r="H134">
        <f t="shared" si="9"/>
        <v>3136</v>
      </c>
      <c r="I134" s="1">
        <f t="shared" si="10"/>
        <v>470400</v>
      </c>
      <c r="J134">
        <f t="shared" si="13"/>
        <v>255.74697579757199</v>
      </c>
      <c r="K134">
        <f t="shared" si="11"/>
        <v>38362.046369635798</v>
      </c>
    </row>
    <row r="135" spans="1:12" x14ac:dyDescent="0.55000000000000004">
      <c r="A135" t="s">
        <v>404</v>
      </c>
      <c r="D135" s="42">
        <f t="shared" si="14"/>
        <v>112.95006172404065</v>
      </c>
      <c r="E135" s="1">
        <v>150.78800000000001</v>
      </c>
      <c r="F135" s="1">
        <v>112</v>
      </c>
      <c r="G135" s="28">
        <f t="shared" si="12"/>
        <v>73.284178331978637</v>
      </c>
      <c r="H135">
        <f t="shared" si="9"/>
        <v>3343</v>
      </c>
      <c r="I135" s="1">
        <f t="shared" si="10"/>
        <v>374416</v>
      </c>
      <c r="J135">
        <f t="shared" si="13"/>
        <v>272.64392714071596</v>
      </c>
      <c r="K135">
        <f t="shared" si="11"/>
        <v>30536.119839760187</v>
      </c>
    </row>
    <row r="136" spans="1:12" x14ac:dyDescent="0.55000000000000004">
      <c r="A136" t="s">
        <v>404</v>
      </c>
      <c r="D136" s="42">
        <f t="shared" si="14"/>
        <v>126.95009258606096</v>
      </c>
      <c r="E136" s="1">
        <v>169.47800000000001</v>
      </c>
      <c r="F136" s="1">
        <v>130</v>
      </c>
      <c r="G136" s="28">
        <f t="shared" si="12"/>
        <v>73.284178331978637</v>
      </c>
      <c r="H136">
        <f t="shared" si="9"/>
        <v>3757</v>
      </c>
      <c r="I136" s="1">
        <f t="shared" si="10"/>
        <v>488410</v>
      </c>
      <c r="J136">
        <f t="shared" si="13"/>
        <v>306.43782982700384</v>
      </c>
      <c r="K136">
        <f t="shared" si="11"/>
        <v>39836.917877510496</v>
      </c>
    </row>
    <row r="137" spans="1:12" x14ac:dyDescent="0.55000000000000004">
      <c r="A137" t="s">
        <v>404</v>
      </c>
      <c r="D137" s="42">
        <f t="shared" si="14"/>
        <v>138.95011903922122</v>
      </c>
      <c r="E137" s="1">
        <v>185.49799999999999</v>
      </c>
      <c r="F137" s="1">
        <v>91</v>
      </c>
      <c r="G137" s="28">
        <f t="shared" si="12"/>
        <v>73.284178331978637</v>
      </c>
      <c r="H137">
        <f t="shared" si="9"/>
        <v>4112</v>
      </c>
      <c r="I137" s="1">
        <f t="shared" si="10"/>
        <v>374192</v>
      </c>
      <c r="J137">
        <f t="shared" si="13"/>
        <v>335.40403212953629</v>
      </c>
      <c r="K137">
        <f t="shared" si="11"/>
        <v>30521.766923787804</v>
      </c>
    </row>
    <row r="138" spans="1:12" x14ac:dyDescent="0.55000000000000004">
      <c r="A138" t="s">
        <v>404</v>
      </c>
      <c r="D138" s="42">
        <f t="shared" si="14"/>
        <v>150.95014549238147</v>
      </c>
      <c r="E138" s="1">
        <v>201.518</v>
      </c>
      <c r="F138" s="1">
        <v>5</v>
      </c>
      <c r="G138" s="28">
        <f t="shared" si="12"/>
        <v>73.284178331978637</v>
      </c>
      <c r="H138">
        <f t="shared" si="9"/>
        <v>4467</v>
      </c>
      <c r="I138" s="1">
        <f t="shared" si="10"/>
        <v>22335</v>
      </c>
      <c r="J138">
        <f t="shared" si="13"/>
        <v>364.37023443206874</v>
      </c>
      <c r="K138">
        <f t="shared" si="11"/>
        <v>1821.8511721603436</v>
      </c>
    </row>
    <row r="139" spans="1:12" x14ac:dyDescent="0.55000000000000004">
      <c r="A139" t="s">
        <v>404</v>
      </c>
      <c r="J139">
        <f t="shared" si="13"/>
        <v>0</v>
      </c>
      <c r="K139">
        <f t="shared" si="11"/>
        <v>0</v>
      </c>
    </row>
    <row r="140" spans="1:12" x14ac:dyDescent="0.55000000000000004">
      <c r="A140" t="s">
        <v>404</v>
      </c>
      <c r="B140" t="s">
        <v>198</v>
      </c>
      <c r="C140" t="s">
        <v>192</v>
      </c>
      <c r="D140" s="1">
        <v>59.95</v>
      </c>
      <c r="E140" s="1">
        <v>80.332999999999998</v>
      </c>
      <c r="F140" s="1">
        <v>205</v>
      </c>
      <c r="G140" s="1">
        <v>75</v>
      </c>
      <c r="H140">
        <f>+ROUND(G140*E140*0.3025,0)</f>
        <v>1823</v>
      </c>
      <c r="I140" s="1">
        <f>+H140*F140</f>
        <v>373715</v>
      </c>
      <c r="J140">
        <f t="shared" si="13"/>
        <v>144.71</v>
      </c>
      <c r="K140">
        <f t="shared" si="11"/>
        <v>29665.550000000003</v>
      </c>
    </row>
    <row r="141" spans="1:12" x14ac:dyDescent="0.55000000000000004">
      <c r="A141" t="s">
        <v>404</v>
      </c>
      <c r="C141" t="s">
        <v>193</v>
      </c>
      <c r="D141" s="1">
        <v>84.95</v>
      </c>
      <c r="E141" s="1">
        <v>113.408</v>
      </c>
      <c r="F141" s="1">
        <v>20</v>
      </c>
      <c r="G141" s="22">
        <v>75</v>
      </c>
      <c r="H141">
        <f>+ROUND(G141*E141*0.3025,0)</f>
        <v>2573</v>
      </c>
      <c r="I141" s="1">
        <f>+H141*F141</f>
        <v>51460</v>
      </c>
      <c r="J141">
        <f t="shared" si="13"/>
        <v>205.05612176814014</v>
      </c>
      <c r="K141">
        <f t="shared" si="11"/>
        <v>4101.1224353628031</v>
      </c>
    </row>
    <row r="142" spans="1:12" x14ac:dyDescent="0.55000000000000004">
      <c r="A142" t="s">
        <v>404</v>
      </c>
      <c r="K142">
        <f t="shared" si="11"/>
        <v>0</v>
      </c>
    </row>
    <row r="143" spans="1:12" x14ac:dyDescent="0.55000000000000004">
      <c r="A143" t="s">
        <v>404</v>
      </c>
      <c r="B143" t="s">
        <v>346</v>
      </c>
      <c r="K143">
        <f t="shared" si="11"/>
        <v>0</v>
      </c>
    </row>
    <row r="144" spans="1:12" x14ac:dyDescent="0.55000000000000004">
      <c r="A144" t="s">
        <v>404</v>
      </c>
      <c r="C144" t="s">
        <v>192</v>
      </c>
      <c r="D144" s="1">
        <v>59.95</v>
      </c>
      <c r="E144" s="1">
        <v>80.332999999999998</v>
      </c>
      <c r="F144" s="1">
        <v>85</v>
      </c>
      <c r="J144" s="1">
        <v>144.71</v>
      </c>
      <c r="K144">
        <f t="shared" si="11"/>
        <v>12300.35</v>
      </c>
      <c r="L144" s="14" t="s">
        <v>407</v>
      </c>
    </row>
    <row r="145" spans="1:15" x14ac:dyDescent="0.55000000000000004">
      <c r="A145" t="s">
        <v>404</v>
      </c>
      <c r="K145">
        <f t="shared" si="11"/>
        <v>0</v>
      </c>
    </row>
    <row r="146" spans="1:15" x14ac:dyDescent="0.55000000000000004">
      <c r="A146" t="s">
        <v>404</v>
      </c>
      <c r="K146">
        <f t="shared" si="11"/>
        <v>0</v>
      </c>
    </row>
    <row r="147" spans="1:15" x14ac:dyDescent="0.55000000000000004">
      <c r="A147" t="s">
        <v>404</v>
      </c>
      <c r="B147" t="s">
        <v>347</v>
      </c>
      <c r="K147">
        <f t="shared" si="11"/>
        <v>0</v>
      </c>
    </row>
    <row r="148" spans="1:15" x14ac:dyDescent="0.55000000000000004">
      <c r="A148" t="s">
        <v>404</v>
      </c>
      <c r="C148" t="s">
        <v>192</v>
      </c>
      <c r="D148" s="1">
        <v>59.95</v>
      </c>
      <c r="E148" s="1">
        <v>80.332999999999998</v>
      </c>
      <c r="F148" s="1">
        <v>118</v>
      </c>
      <c r="J148" s="1">
        <v>144.71</v>
      </c>
      <c r="K148">
        <f t="shared" si="11"/>
        <v>17075.780000000002</v>
      </c>
      <c r="M148">
        <f>+E148*0.3025*F148</f>
        <v>2867.4864349999998</v>
      </c>
    </row>
    <row r="149" spans="1:15" x14ac:dyDescent="0.55000000000000004">
      <c r="A149" t="s">
        <v>404</v>
      </c>
      <c r="C149" t="s">
        <v>193</v>
      </c>
      <c r="D149" s="1">
        <v>65.95</v>
      </c>
      <c r="E149" s="1">
        <v>88.373000000000005</v>
      </c>
      <c r="F149" s="1">
        <v>24</v>
      </c>
      <c r="J149">
        <f t="shared" ref="J149:J151" si="15">+$J$62*D149/$D$62</f>
        <v>159.19306922435365</v>
      </c>
      <c r="K149">
        <f t="shared" si="11"/>
        <v>3820.6336613844878</v>
      </c>
      <c r="M149">
        <f>+E149*0.3025*F149</f>
        <v>641.58798000000002</v>
      </c>
    </row>
    <row r="150" spans="1:15" x14ac:dyDescent="0.55000000000000004">
      <c r="A150" t="s">
        <v>404</v>
      </c>
      <c r="D150" s="1">
        <v>75.95</v>
      </c>
      <c r="E150" s="1">
        <v>101.773</v>
      </c>
      <c r="F150" s="1">
        <v>18</v>
      </c>
      <c r="J150">
        <f t="shared" si="15"/>
        <v>183.33151793160968</v>
      </c>
      <c r="K150">
        <f t="shared" si="11"/>
        <v>3299.9673227689741</v>
      </c>
      <c r="M150">
        <f>+E150*0.3025*F150</f>
        <v>554.15398499999992</v>
      </c>
    </row>
    <row r="151" spans="1:15" x14ac:dyDescent="0.55000000000000004">
      <c r="A151" t="s">
        <v>404</v>
      </c>
      <c r="D151" s="1">
        <v>84.95</v>
      </c>
      <c r="E151" s="1">
        <v>113.408</v>
      </c>
      <c r="F151" s="1">
        <v>15</v>
      </c>
      <c r="I151" s="20"/>
      <c r="J151">
        <f t="shared" si="15"/>
        <v>205.05612176814014</v>
      </c>
      <c r="K151">
        <f t="shared" si="11"/>
        <v>3075.8418265221021</v>
      </c>
      <c r="M151">
        <f>+E151*0.3025*F151</f>
        <v>514.58879999999999</v>
      </c>
    </row>
    <row r="152" spans="1:15" x14ac:dyDescent="0.55000000000000004">
      <c r="A152" t="s">
        <v>404</v>
      </c>
      <c r="C152" t="s">
        <v>357</v>
      </c>
      <c r="I152" s="9">
        <v>26328.799999999999</v>
      </c>
      <c r="J152" s="5" t="s">
        <v>408</v>
      </c>
      <c r="M152">
        <f>+SUM(M148:M151)</f>
        <v>4577.8171999999995</v>
      </c>
      <c r="N152">
        <f>+I152/M152</f>
        <v>5.7513873642660966</v>
      </c>
      <c r="O152" t="s">
        <v>409</v>
      </c>
    </row>
    <row r="153" spans="1:15" x14ac:dyDescent="0.55000000000000004">
      <c r="A153" t="s">
        <v>404</v>
      </c>
      <c r="B153" t="s">
        <v>361</v>
      </c>
      <c r="G153">
        <f>+I153/(K153*0.3025)</f>
        <v>80.244510298367359</v>
      </c>
      <c r="I153" s="9">
        <v>108990.1</v>
      </c>
      <c r="J153" s="5" t="s">
        <v>410</v>
      </c>
      <c r="K153">
        <v>4490</v>
      </c>
    </row>
    <row r="154" spans="1:15" x14ac:dyDescent="0.55000000000000004">
      <c r="A154" t="s">
        <v>404</v>
      </c>
      <c r="I154" s="27">
        <f>+SUM(I130:I153)</f>
        <v>4831598.8999999994</v>
      </c>
      <c r="K154">
        <f>+SUM(K130:K153)</f>
        <v>425798.12236480584</v>
      </c>
    </row>
    <row r="157" spans="1:15" x14ac:dyDescent="0.55000000000000004">
      <c r="B157" t="s">
        <v>159</v>
      </c>
    </row>
    <row r="158" spans="1:15" x14ac:dyDescent="0.55000000000000004">
      <c r="C158" t="s">
        <v>251</v>
      </c>
      <c r="D158" t="s">
        <v>247</v>
      </c>
      <c r="E158" t="s">
        <v>34</v>
      </c>
      <c r="F158" t="s">
        <v>159</v>
      </c>
    </row>
    <row r="159" spans="1:15" x14ac:dyDescent="0.55000000000000004">
      <c r="C159" s="30">
        <f>+I154</f>
        <v>4831598.8999999994</v>
      </c>
      <c r="D159" s="4">
        <f>+G122</f>
        <v>1388200</v>
      </c>
      <c r="E159" s="57">
        <f>+J118</f>
        <v>4571234</v>
      </c>
      <c r="F159" s="13">
        <f>+(C159-D159)/E159</f>
        <v>0.75327557066647632</v>
      </c>
    </row>
    <row r="161" spans="1:11" s="14" customFormat="1" x14ac:dyDescent="0.55000000000000004">
      <c r="A161" s="14" t="s">
        <v>254</v>
      </c>
    </row>
    <row r="162" spans="1:11" x14ac:dyDescent="0.55000000000000004">
      <c r="A162" s="5"/>
    </row>
    <row r="163" spans="1:11" x14ac:dyDescent="0.55000000000000004">
      <c r="A163" s="5"/>
      <c r="B163" t="s">
        <v>255</v>
      </c>
      <c r="E163" t="s">
        <v>256</v>
      </c>
      <c r="F163" t="s">
        <v>241</v>
      </c>
    </row>
    <row r="164" spans="1:11" x14ac:dyDescent="0.55000000000000004">
      <c r="A164" s="5"/>
      <c r="C164" t="s">
        <v>259</v>
      </c>
      <c r="E164" s="55">
        <f>+G130</f>
        <v>73.284178331978637</v>
      </c>
      <c r="F164" t="s">
        <v>258</v>
      </c>
    </row>
    <row r="165" spans="1:11" x14ac:dyDescent="0.55000000000000004">
      <c r="A165" s="5"/>
      <c r="C165" t="s">
        <v>257</v>
      </c>
      <c r="E165" s="8">
        <f>+G140</f>
        <v>75</v>
      </c>
      <c r="F165" t="s">
        <v>258</v>
      </c>
    </row>
    <row r="166" spans="1:11" x14ac:dyDescent="0.55000000000000004">
      <c r="A166" s="5"/>
      <c r="C166" t="s">
        <v>154</v>
      </c>
      <c r="E166" s="58">
        <f>+E124</f>
        <v>7.8996336076382301</v>
      </c>
      <c r="F166" t="s">
        <v>260</v>
      </c>
    </row>
    <row r="167" spans="1:11" x14ac:dyDescent="0.55000000000000004">
      <c r="A167" s="5"/>
    </row>
    <row r="168" spans="1:11" s="14" customFormat="1" x14ac:dyDescent="0.55000000000000004">
      <c r="A168" s="14" t="s">
        <v>261</v>
      </c>
    </row>
    <row r="169" spans="1:11" x14ac:dyDescent="0.55000000000000004">
      <c r="A169" s="15"/>
    </row>
    <row r="170" spans="1:11" x14ac:dyDescent="0.55000000000000004">
      <c r="A170" s="15"/>
      <c r="B170" t="s">
        <v>251</v>
      </c>
    </row>
    <row r="171" spans="1:11" x14ac:dyDescent="0.55000000000000004">
      <c r="A171" s="15"/>
    </row>
    <row r="172" spans="1:11" x14ac:dyDescent="0.55000000000000004">
      <c r="A172" s="15"/>
      <c r="C172" t="s">
        <v>230</v>
      </c>
      <c r="D172" t="s">
        <v>210</v>
      </c>
      <c r="E172" t="s">
        <v>195</v>
      </c>
      <c r="F172" t="s">
        <v>38</v>
      </c>
      <c r="G172" t="s">
        <v>231</v>
      </c>
      <c r="H172" t="s">
        <v>232</v>
      </c>
      <c r="I172" t="s">
        <v>233</v>
      </c>
      <c r="J172" t="s">
        <v>349</v>
      </c>
      <c r="K172" t="s">
        <v>350</v>
      </c>
    </row>
    <row r="173" spans="1:11" x14ac:dyDescent="0.55000000000000004">
      <c r="A173" s="15"/>
      <c r="B173" t="s">
        <v>196</v>
      </c>
      <c r="C173" t="s">
        <v>192</v>
      </c>
      <c r="D173" s="1"/>
      <c r="E173" s="1"/>
      <c r="G173" t="s">
        <v>411</v>
      </c>
    </row>
    <row r="174" spans="1:11" x14ac:dyDescent="0.55000000000000004">
      <c r="A174" s="15"/>
      <c r="C174" t="s">
        <v>193</v>
      </c>
      <c r="D174" s="1">
        <v>65.95</v>
      </c>
      <c r="E174" s="1">
        <v>88.373000000000005</v>
      </c>
      <c r="F174" s="1">
        <v>336</v>
      </c>
      <c r="G174" s="55">
        <f>+E164</f>
        <v>73.284178331978637</v>
      </c>
      <c r="H174">
        <f t="shared" ref="H174:H182" si="16">+ROUND(G174*E174*0.3025,0)</f>
        <v>1959</v>
      </c>
      <c r="I174" s="1">
        <f t="shared" ref="I174:I182" si="17">+H174*F174</f>
        <v>658224</v>
      </c>
      <c r="J174">
        <f>+$J$62*D174/$D$62</f>
        <v>159.19306922435365</v>
      </c>
      <c r="K174">
        <f t="shared" ref="K174:K195" si="18">+J174*F174</f>
        <v>53488.871259382824</v>
      </c>
    </row>
    <row r="175" spans="1:11" x14ac:dyDescent="0.55000000000000004">
      <c r="A175" s="15"/>
      <c r="D175" s="1">
        <v>75.95</v>
      </c>
      <c r="E175" s="1">
        <v>101.773</v>
      </c>
      <c r="F175" s="1">
        <v>288</v>
      </c>
      <c r="G175" s="28">
        <f t="shared" ref="G175:G182" si="19">+G174</f>
        <v>73.284178331978637</v>
      </c>
      <c r="H175">
        <f t="shared" si="16"/>
        <v>2256</v>
      </c>
      <c r="I175" s="1">
        <f t="shared" si="17"/>
        <v>649728</v>
      </c>
      <c r="J175">
        <f t="shared" ref="J175:J185" si="20">+$J$62*D175/$D$62</f>
        <v>183.33151793160968</v>
      </c>
      <c r="K175">
        <f t="shared" si="18"/>
        <v>52799.477164303586</v>
      </c>
    </row>
    <row r="176" spans="1:11" x14ac:dyDescent="0.55000000000000004">
      <c r="A176" s="15"/>
      <c r="D176" s="8">
        <v>84.95</v>
      </c>
      <c r="E176" s="8">
        <v>113.408</v>
      </c>
      <c r="F176" s="8">
        <v>200</v>
      </c>
      <c r="G176" s="56">
        <f t="shared" si="19"/>
        <v>73.284178331978637</v>
      </c>
      <c r="H176" s="14">
        <f t="shared" si="16"/>
        <v>2514</v>
      </c>
      <c r="I176" s="8">
        <f t="shared" si="17"/>
        <v>502800</v>
      </c>
      <c r="J176" s="14">
        <f t="shared" si="20"/>
        <v>205.05612176814014</v>
      </c>
      <c r="K176" s="14">
        <f t="shared" si="18"/>
        <v>41011.224353628029</v>
      </c>
    </row>
    <row r="177" spans="1:11" x14ac:dyDescent="0.55000000000000004">
      <c r="A177" s="15"/>
      <c r="C177" t="s">
        <v>194</v>
      </c>
      <c r="D177" s="42">
        <f t="shared" ref="D177:D182" si="21">+$D$50*E177/$E$50</f>
        <v>94.950022044300226</v>
      </c>
      <c r="E177" s="1">
        <v>126.758</v>
      </c>
      <c r="F177" s="1">
        <v>260</v>
      </c>
      <c r="G177" s="28">
        <f t="shared" si="19"/>
        <v>73.284178331978637</v>
      </c>
      <c r="H177">
        <f t="shared" si="16"/>
        <v>2810</v>
      </c>
      <c r="I177" s="1">
        <f t="shared" si="17"/>
        <v>730600</v>
      </c>
      <c r="J177">
        <f t="shared" si="20"/>
        <v>229.1946236869172</v>
      </c>
      <c r="K177">
        <f t="shared" si="18"/>
        <v>59590.602158598471</v>
      </c>
    </row>
    <row r="178" spans="1:11" x14ac:dyDescent="0.55000000000000004">
      <c r="A178" s="15"/>
      <c r="D178" s="42">
        <f t="shared" si="21"/>
        <v>105.95004629303048</v>
      </c>
      <c r="E178" s="1">
        <v>141.44300000000001</v>
      </c>
      <c r="F178" s="1">
        <v>150</v>
      </c>
      <c r="G178" s="28">
        <f t="shared" si="19"/>
        <v>73.284178331978637</v>
      </c>
      <c r="H178">
        <f t="shared" si="16"/>
        <v>3136</v>
      </c>
      <c r="I178" s="1">
        <f t="shared" si="17"/>
        <v>470400</v>
      </c>
      <c r="J178">
        <f t="shared" si="20"/>
        <v>255.74697579757199</v>
      </c>
      <c r="K178">
        <f t="shared" si="18"/>
        <v>38362.046369635798</v>
      </c>
    </row>
    <row r="179" spans="1:11" x14ac:dyDescent="0.55000000000000004">
      <c r="A179" s="15"/>
      <c r="D179" s="42">
        <f t="shared" si="21"/>
        <v>112.95006172404065</v>
      </c>
      <c r="E179" s="1">
        <v>150.78800000000001</v>
      </c>
      <c r="F179" s="1">
        <v>112</v>
      </c>
      <c r="G179" s="28">
        <f t="shared" si="19"/>
        <v>73.284178331978637</v>
      </c>
      <c r="H179">
        <f t="shared" si="16"/>
        <v>3343</v>
      </c>
      <c r="I179" s="1">
        <f t="shared" si="17"/>
        <v>374416</v>
      </c>
      <c r="J179">
        <f t="shared" si="20"/>
        <v>272.64392714071596</v>
      </c>
      <c r="K179">
        <f t="shared" si="18"/>
        <v>30536.119839760187</v>
      </c>
    </row>
    <row r="180" spans="1:11" x14ac:dyDescent="0.55000000000000004">
      <c r="A180" s="15"/>
      <c r="D180" s="42">
        <f t="shared" si="21"/>
        <v>126.95009258606096</v>
      </c>
      <c r="E180" s="1">
        <v>169.47800000000001</v>
      </c>
      <c r="F180" s="1">
        <v>130</v>
      </c>
      <c r="G180" s="28">
        <f t="shared" si="19"/>
        <v>73.284178331978637</v>
      </c>
      <c r="H180">
        <f t="shared" si="16"/>
        <v>3757</v>
      </c>
      <c r="I180" s="1">
        <f t="shared" si="17"/>
        <v>488410</v>
      </c>
      <c r="J180">
        <f t="shared" si="20"/>
        <v>306.43782982700384</v>
      </c>
      <c r="K180">
        <f t="shared" si="18"/>
        <v>39836.917877510496</v>
      </c>
    </row>
    <row r="181" spans="1:11" x14ac:dyDescent="0.55000000000000004">
      <c r="A181" s="15"/>
      <c r="D181" s="42">
        <f t="shared" si="21"/>
        <v>138.95011903922122</v>
      </c>
      <c r="E181" s="1">
        <v>185.49799999999999</v>
      </c>
      <c r="F181" s="1">
        <v>91</v>
      </c>
      <c r="G181" s="28">
        <f t="shared" si="19"/>
        <v>73.284178331978637</v>
      </c>
      <c r="H181">
        <f t="shared" si="16"/>
        <v>4112</v>
      </c>
      <c r="I181" s="1">
        <f t="shared" si="17"/>
        <v>374192</v>
      </c>
      <c r="J181">
        <f t="shared" si="20"/>
        <v>335.40403212953629</v>
      </c>
      <c r="K181">
        <f t="shared" si="18"/>
        <v>30521.766923787804</v>
      </c>
    </row>
    <row r="182" spans="1:11" x14ac:dyDescent="0.55000000000000004">
      <c r="A182" s="15"/>
      <c r="D182" s="42">
        <f t="shared" si="21"/>
        <v>150.95014549238147</v>
      </c>
      <c r="E182" s="1">
        <v>201.518</v>
      </c>
      <c r="F182" s="1">
        <v>5</v>
      </c>
      <c r="G182" s="28">
        <f t="shared" si="19"/>
        <v>73.284178331978637</v>
      </c>
      <c r="H182">
        <f t="shared" si="16"/>
        <v>4467</v>
      </c>
      <c r="I182" s="1">
        <f t="shared" si="17"/>
        <v>22335</v>
      </c>
      <c r="J182">
        <f t="shared" si="20"/>
        <v>364.37023443206874</v>
      </c>
      <c r="K182">
        <f t="shared" si="18"/>
        <v>1821.8511721603436</v>
      </c>
    </row>
    <row r="183" spans="1:11" x14ac:dyDescent="0.55000000000000004">
      <c r="A183" s="15"/>
      <c r="J183">
        <f t="shared" si="20"/>
        <v>0</v>
      </c>
      <c r="K183">
        <f t="shared" si="18"/>
        <v>0</v>
      </c>
    </row>
    <row r="184" spans="1:11" x14ac:dyDescent="0.55000000000000004">
      <c r="A184" s="15"/>
      <c r="B184" t="s">
        <v>198</v>
      </c>
      <c r="C184" t="s">
        <v>192</v>
      </c>
      <c r="D184" s="1">
        <v>59.95</v>
      </c>
      <c r="E184" s="1">
        <v>80.332999999999998</v>
      </c>
      <c r="F184" s="1">
        <v>205</v>
      </c>
      <c r="G184" s="8">
        <f>+E165</f>
        <v>75</v>
      </c>
      <c r="H184">
        <f>+ROUND(G184*E184*0.3025,0)</f>
        <v>1823</v>
      </c>
      <c r="I184" s="1">
        <f>+H184*F184</f>
        <v>373715</v>
      </c>
      <c r="J184">
        <f t="shared" si="20"/>
        <v>144.71</v>
      </c>
      <c r="K184">
        <f t="shared" si="18"/>
        <v>29665.550000000003</v>
      </c>
    </row>
    <row r="185" spans="1:11" x14ac:dyDescent="0.55000000000000004">
      <c r="A185" s="15"/>
      <c r="C185" t="s">
        <v>193</v>
      </c>
      <c r="D185" s="1">
        <v>84.95</v>
      </c>
      <c r="E185" s="1">
        <v>113.408</v>
      </c>
      <c r="F185" s="1">
        <v>20</v>
      </c>
      <c r="G185" s="22">
        <v>75</v>
      </c>
      <c r="H185">
        <f>+ROUND(G185*E185*0.3025,0)</f>
        <v>2573</v>
      </c>
      <c r="I185" s="1">
        <f>+H185*F185</f>
        <v>51460</v>
      </c>
      <c r="J185">
        <f t="shared" si="20"/>
        <v>205.05612176814014</v>
      </c>
      <c r="K185">
        <f t="shared" si="18"/>
        <v>4101.1224353628031</v>
      </c>
    </row>
    <row r="186" spans="1:11" x14ac:dyDescent="0.55000000000000004">
      <c r="A186" s="15"/>
      <c r="K186">
        <f t="shared" si="18"/>
        <v>0</v>
      </c>
    </row>
    <row r="187" spans="1:11" x14ac:dyDescent="0.55000000000000004">
      <c r="A187" s="15"/>
      <c r="B187" t="s">
        <v>346</v>
      </c>
      <c r="K187">
        <f t="shared" si="18"/>
        <v>0</v>
      </c>
    </row>
    <row r="188" spans="1:11" x14ac:dyDescent="0.55000000000000004">
      <c r="A188" s="15"/>
      <c r="C188" t="s">
        <v>192</v>
      </c>
      <c r="D188" s="1">
        <v>59.95</v>
      </c>
      <c r="E188" s="1">
        <v>80.332999999999998</v>
      </c>
      <c r="F188" s="1">
        <v>85</v>
      </c>
      <c r="J188" s="1">
        <v>144.71</v>
      </c>
      <c r="K188">
        <f t="shared" si="18"/>
        <v>12300.35</v>
      </c>
    </row>
    <row r="189" spans="1:11" x14ac:dyDescent="0.55000000000000004">
      <c r="A189" s="15"/>
      <c r="K189">
        <f t="shared" si="18"/>
        <v>0</v>
      </c>
    </row>
    <row r="190" spans="1:11" x14ac:dyDescent="0.55000000000000004">
      <c r="A190" s="15"/>
      <c r="K190">
        <f t="shared" si="18"/>
        <v>0</v>
      </c>
    </row>
    <row r="191" spans="1:11" x14ac:dyDescent="0.55000000000000004">
      <c r="A191" s="15"/>
      <c r="B191" t="s">
        <v>347</v>
      </c>
      <c r="K191">
        <f t="shared" si="18"/>
        <v>0</v>
      </c>
    </row>
    <row r="192" spans="1:11" x14ac:dyDescent="0.55000000000000004">
      <c r="A192" s="15"/>
      <c r="C192" t="s">
        <v>192</v>
      </c>
      <c r="D192" s="1">
        <v>59.95</v>
      </c>
      <c r="E192" s="1">
        <v>80.332999999999998</v>
      </c>
      <c r="F192" s="1">
        <v>118</v>
      </c>
      <c r="J192" s="1">
        <v>144.71</v>
      </c>
      <c r="K192">
        <f t="shared" si="18"/>
        <v>17075.780000000002</v>
      </c>
    </row>
    <row r="193" spans="1:11" x14ac:dyDescent="0.55000000000000004">
      <c r="A193" s="15"/>
      <c r="C193" t="s">
        <v>193</v>
      </c>
      <c r="D193" s="1">
        <v>65.95</v>
      </c>
      <c r="E193" s="1">
        <v>88.373000000000005</v>
      </c>
      <c r="F193" s="1">
        <v>24</v>
      </c>
      <c r="J193">
        <f t="shared" ref="J193:J195" si="22">+$J$62*D193/$D$62</f>
        <v>159.19306922435365</v>
      </c>
      <c r="K193">
        <f t="shared" si="18"/>
        <v>3820.6336613844878</v>
      </c>
    </row>
    <row r="194" spans="1:11" x14ac:dyDescent="0.55000000000000004">
      <c r="A194" s="15"/>
      <c r="D194" s="1">
        <v>75.95</v>
      </c>
      <c r="E194" s="1">
        <v>101.773</v>
      </c>
      <c r="F194" s="1">
        <v>18</v>
      </c>
      <c r="J194">
        <f t="shared" si="22"/>
        <v>183.33151793160968</v>
      </c>
      <c r="K194">
        <f t="shared" si="18"/>
        <v>3299.9673227689741</v>
      </c>
    </row>
    <row r="195" spans="1:11" x14ac:dyDescent="0.55000000000000004">
      <c r="A195" s="15"/>
      <c r="D195" s="1">
        <v>84.95</v>
      </c>
      <c r="E195" s="1">
        <v>113.408</v>
      </c>
      <c r="F195" s="1">
        <v>15</v>
      </c>
      <c r="I195" s="20"/>
      <c r="J195">
        <f t="shared" si="22"/>
        <v>205.05612176814014</v>
      </c>
      <c r="K195">
        <f t="shared" si="18"/>
        <v>3075.8418265221021</v>
      </c>
    </row>
    <row r="196" spans="1:11" x14ac:dyDescent="0.55000000000000004">
      <c r="A196" s="15"/>
      <c r="C196" t="s">
        <v>357</v>
      </c>
      <c r="I196" s="9">
        <v>26328.799999999999</v>
      </c>
    </row>
    <row r="197" spans="1:11" x14ac:dyDescent="0.55000000000000004">
      <c r="A197" s="15"/>
      <c r="B197" t="s">
        <v>361</v>
      </c>
      <c r="G197">
        <f>+I197/(K197*0.3025)</f>
        <v>80.244510298367359</v>
      </c>
      <c r="I197" s="9">
        <v>108990.1</v>
      </c>
      <c r="K197">
        <v>4490</v>
      </c>
    </row>
    <row r="198" spans="1:11" x14ac:dyDescent="0.55000000000000004">
      <c r="A198" s="15"/>
      <c r="I198" s="27">
        <f>+SUM(I174:I197)</f>
        <v>4831598.8999999994</v>
      </c>
      <c r="K198">
        <f>+SUM(K174:K197)</f>
        <v>425798.12236480584</v>
      </c>
    </row>
    <row r="199" spans="1:11" x14ac:dyDescent="0.55000000000000004">
      <c r="A199" s="15"/>
    </row>
    <row r="200" spans="1:11" x14ac:dyDescent="0.55000000000000004">
      <c r="A200" s="15"/>
      <c r="B200" t="s">
        <v>247</v>
      </c>
    </row>
    <row r="201" spans="1:11" x14ac:dyDescent="0.55000000000000004">
      <c r="A201" s="15"/>
      <c r="C201" t="s">
        <v>154</v>
      </c>
      <c r="D201" t="s">
        <v>248</v>
      </c>
      <c r="E201" t="s">
        <v>154</v>
      </c>
      <c r="F201" t="s">
        <v>155</v>
      </c>
      <c r="G201" t="s">
        <v>247</v>
      </c>
    </row>
    <row r="202" spans="1:11" x14ac:dyDescent="0.55000000000000004">
      <c r="A202" s="15"/>
      <c r="C202" s="58">
        <f>+E166</f>
        <v>7.8996336076382301</v>
      </c>
      <c r="D202">
        <f>+D122</f>
        <v>446865.02</v>
      </c>
      <c r="E202" s="3">
        <f>+C202*D202*0.3025</f>
        <v>1067846.1538461538</v>
      </c>
      <c r="F202" s="3">
        <f>+E202*0.3</f>
        <v>320353.84615384613</v>
      </c>
      <c r="G202" s="3">
        <f>+E202+F202</f>
        <v>1388200</v>
      </c>
    </row>
    <row r="203" spans="1:11" x14ac:dyDescent="0.55000000000000004">
      <c r="A203" s="15"/>
    </row>
    <row r="204" spans="1:11" x14ac:dyDescent="0.55000000000000004">
      <c r="A204" s="15"/>
      <c r="B204" t="s">
        <v>159</v>
      </c>
    </row>
    <row r="205" spans="1:11" x14ac:dyDescent="0.55000000000000004">
      <c r="A205" s="15"/>
      <c r="C205" t="s">
        <v>251</v>
      </c>
      <c r="D205" t="s">
        <v>247</v>
      </c>
      <c r="E205" t="s">
        <v>34</v>
      </c>
      <c r="F205" t="s">
        <v>159</v>
      </c>
    </row>
    <row r="206" spans="1:11" x14ac:dyDescent="0.55000000000000004">
      <c r="A206" s="15"/>
      <c r="C206" s="30">
        <f>+I198</f>
        <v>4831598.8999999994</v>
      </c>
      <c r="D206" s="4">
        <f>+G202</f>
        <v>1388200</v>
      </c>
      <c r="E206" s="57">
        <f>+J118</f>
        <v>4571234</v>
      </c>
      <c r="F206" s="13">
        <f>+(C206-D206)/E206</f>
        <v>0.75327557066647632</v>
      </c>
    </row>
    <row r="207" spans="1:11" x14ac:dyDescent="0.55000000000000004">
      <c r="A207" s="15"/>
    </row>
    <row r="208" spans="1:11" s="14" customFormat="1" x14ac:dyDescent="0.55000000000000004"/>
    <row r="212" spans="1:30" x14ac:dyDescent="0.55000000000000004">
      <c r="Z212" s="1" t="s">
        <v>264</v>
      </c>
    </row>
    <row r="213" spans="1:30" x14ac:dyDescent="0.55000000000000004">
      <c r="O213" s="1" t="s">
        <v>264</v>
      </c>
      <c r="T213" t="s">
        <v>412</v>
      </c>
      <c r="Z213" t="s">
        <v>266</v>
      </c>
    </row>
    <row r="214" spans="1:30" x14ac:dyDescent="0.55000000000000004">
      <c r="T214" t="s">
        <v>268</v>
      </c>
      <c r="Z214" t="s">
        <v>268</v>
      </c>
      <c r="AA214" t="s">
        <v>269</v>
      </c>
    </row>
    <row r="215" spans="1:30" x14ac:dyDescent="0.55000000000000004">
      <c r="B215" t="s">
        <v>240</v>
      </c>
      <c r="O215" s="47" t="s">
        <v>413</v>
      </c>
    </row>
    <row r="216" spans="1:30" ht="28.3" x14ac:dyDescent="0.55000000000000004">
      <c r="B216" s="47" t="s">
        <v>383</v>
      </c>
      <c r="C216" s="71" t="s">
        <v>36</v>
      </c>
      <c r="D216" s="47" t="s">
        <v>384</v>
      </c>
      <c r="E216" s="47" t="s">
        <v>385</v>
      </c>
      <c r="F216" s="47" t="s">
        <v>386</v>
      </c>
      <c r="G216" s="47" t="s">
        <v>387</v>
      </c>
      <c r="H216" s="47" t="s">
        <v>37</v>
      </c>
      <c r="I216" s="47" t="s">
        <v>388</v>
      </c>
      <c r="J216" s="47" t="s">
        <v>389</v>
      </c>
      <c r="K216" s="47" t="s">
        <v>390</v>
      </c>
      <c r="M216" s="47" t="s">
        <v>414</v>
      </c>
      <c r="O216">
        <f>+D176</f>
        <v>84.95</v>
      </c>
      <c r="Q216" t="s">
        <v>267</v>
      </c>
      <c r="S216" t="s">
        <v>271</v>
      </c>
      <c r="T216" t="s">
        <v>268</v>
      </c>
      <c r="V216" t="s">
        <v>272</v>
      </c>
      <c r="X216" t="s">
        <v>273</v>
      </c>
      <c r="Y216" t="s">
        <v>274</v>
      </c>
      <c r="Z216" t="s">
        <v>275</v>
      </c>
      <c r="AA216" t="s">
        <v>276</v>
      </c>
      <c r="AB216" t="s">
        <v>250</v>
      </c>
      <c r="AC216" t="s">
        <v>277</v>
      </c>
      <c r="AD216" t="s">
        <v>278</v>
      </c>
    </row>
    <row r="217" spans="1:30" x14ac:dyDescent="0.55000000000000004">
      <c r="A217">
        <v>1</v>
      </c>
      <c r="B217" s="47" t="s">
        <v>391</v>
      </c>
      <c r="C217" s="59">
        <v>68.91</v>
      </c>
      <c r="D217" s="48">
        <v>68.91</v>
      </c>
      <c r="E217" s="48">
        <v>74.150000000000006</v>
      </c>
      <c r="F217" s="48">
        <v>74.150000000000006</v>
      </c>
      <c r="G217" s="48">
        <v>37.04</v>
      </c>
      <c r="H217" s="48">
        <v>336</v>
      </c>
      <c r="I217" s="54">
        <v>2050</v>
      </c>
      <c r="J217" s="50">
        <f t="shared" ref="J217:J224" si="23">+I217*H217</f>
        <v>688800</v>
      </c>
      <c r="K217" s="34"/>
      <c r="M217" s="3">
        <f t="shared" ref="M217:M224" si="24">+I217*$F$206</f>
        <v>1544.2149198662764</v>
      </c>
      <c r="O217">
        <f>+H176</f>
        <v>2514</v>
      </c>
      <c r="Q217" s="4">
        <f>+$O$217-M217</f>
        <v>969.78508013372357</v>
      </c>
      <c r="S217">
        <f t="shared" ref="S217:S224" si="25">+D217*1</f>
        <v>68.91</v>
      </c>
      <c r="T217">
        <v>4175</v>
      </c>
      <c r="V217" s="4">
        <f>+T217+Q217</f>
        <v>5144.7850801337236</v>
      </c>
      <c r="X217" s="4">
        <f>+$AD$217-V217</f>
        <v>2443.4771973508468</v>
      </c>
      <c r="Y217" s="93">
        <f>+X217/V217</f>
        <v>0.47494252126997222</v>
      </c>
      <c r="Z217">
        <v>6800</v>
      </c>
      <c r="AA217" s="1">
        <f>+'1_압구정3'!Y184</f>
        <v>111.79</v>
      </c>
      <c r="AB217">
        <f>+Z217/(AA217*0.3025)</f>
        <v>201.08541768472318</v>
      </c>
      <c r="AC217" s="3">
        <f>+AB217*1.1</f>
        <v>221.19395945319553</v>
      </c>
      <c r="AD217">
        <f>+AC217*E176*0.3025</f>
        <v>7588.2622774845704</v>
      </c>
    </row>
    <row r="218" spans="1:30" x14ac:dyDescent="0.55000000000000004">
      <c r="A218">
        <v>2</v>
      </c>
      <c r="B218" s="34"/>
      <c r="C218" s="34">
        <v>79.42</v>
      </c>
      <c r="D218" s="48">
        <v>79.42</v>
      </c>
      <c r="E218" s="48">
        <v>85.52</v>
      </c>
      <c r="F218" s="48">
        <v>85.52</v>
      </c>
      <c r="G218" s="48">
        <v>43.08</v>
      </c>
      <c r="H218" s="48">
        <v>288</v>
      </c>
      <c r="I218" s="54">
        <v>2350</v>
      </c>
      <c r="J218" s="50">
        <f t="shared" si="23"/>
        <v>676800</v>
      </c>
      <c r="K218" s="34"/>
      <c r="M218" s="3">
        <f t="shared" si="24"/>
        <v>1770.1975910662193</v>
      </c>
      <c r="Q218" s="4">
        <f t="shared" ref="Q218:Q224" si="26">+$O$217-M218</f>
        <v>743.80240893378073</v>
      </c>
      <c r="S218">
        <f t="shared" si="25"/>
        <v>79.42</v>
      </c>
      <c r="T218">
        <v>4550</v>
      </c>
      <c r="V218" s="4">
        <f t="shared" ref="V218:V224" si="27">+T218+Q218</f>
        <v>5293.8024089337805</v>
      </c>
      <c r="X218" s="4">
        <f t="shared" ref="X218:X224" si="28">+$AD$217-V218</f>
        <v>2294.4598685507899</v>
      </c>
      <c r="Y218" s="93">
        <f t="shared" ref="Y218:Y224" si="29">+X218/V218</f>
        <v>0.43342378338086002</v>
      </c>
    </row>
    <row r="219" spans="1:30" x14ac:dyDescent="0.55000000000000004">
      <c r="A219">
        <v>3</v>
      </c>
      <c r="B219" s="34"/>
      <c r="C219" s="34">
        <v>92.2</v>
      </c>
      <c r="D219" s="48">
        <v>92.2</v>
      </c>
      <c r="E219" s="48">
        <v>99.13</v>
      </c>
      <c r="F219" s="48">
        <v>99.13</v>
      </c>
      <c r="G219" s="48">
        <v>49.84</v>
      </c>
      <c r="H219" s="48">
        <v>192</v>
      </c>
      <c r="I219" s="54">
        <v>2870</v>
      </c>
      <c r="J219" s="50">
        <f t="shared" si="23"/>
        <v>551040</v>
      </c>
      <c r="K219" s="34"/>
      <c r="M219" s="3">
        <f t="shared" si="24"/>
        <v>2161.900887812787</v>
      </c>
      <c r="Q219" s="4">
        <f t="shared" si="26"/>
        <v>352.099112187213</v>
      </c>
      <c r="S219">
        <f t="shared" si="25"/>
        <v>92.2</v>
      </c>
      <c r="T219">
        <v>4950</v>
      </c>
      <c r="V219" s="4">
        <f t="shared" si="27"/>
        <v>5302.099112187213</v>
      </c>
      <c r="X219" s="4">
        <f t="shared" si="28"/>
        <v>2286.1631652973574</v>
      </c>
      <c r="Y219" s="93">
        <f t="shared" si="29"/>
        <v>0.43118076764020979</v>
      </c>
    </row>
    <row r="220" spans="1:30" x14ac:dyDescent="0.55000000000000004">
      <c r="A220">
        <v>4</v>
      </c>
      <c r="B220" s="34"/>
      <c r="C220" s="34">
        <v>93.71</v>
      </c>
      <c r="D220" s="48">
        <v>93.71</v>
      </c>
      <c r="E220" s="48">
        <v>100.92</v>
      </c>
      <c r="F220" s="48">
        <v>100.92</v>
      </c>
      <c r="G220" s="48">
        <v>49.84</v>
      </c>
      <c r="H220" s="48">
        <v>144</v>
      </c>
      <c r="I220" s="54">
        <v>2870</v>
      </c>
      <c r="J220" s="50">
        <f t="shared" si="23"/>
        <v>413280</v>
      </c>
      <c r="K220" s="34"/>
      <c r="M220" s="3">
        <f t="shared" si="24"/>
        <v>2161.900887812787</v>
      </c>
      <c r="Q220" s="4">
        <f t="shared" si="26"/>
        <v>352.099112187213</v>
      </c>
      <c r="S220">
        <f t="shared" si="25"/>
        <v>93.71</v>
      </c>
      <c r="T220">
        <v>4950</v>
      </c>
      <c r="V220" s="4">
        <f t="shared" si="27"/>
        <v>5302.099112187213</v>
      </c>
      <c r="X220" s="4">
        <f t="shared" si="28"/>
        <v>2286.1631652973574</v>
      </c>
      <c r="Y220" s="93">
        <f t="shared" si="29"/>
        <v>0.43118076764020979</v>
      </c>
    </row>
    <row r="221" spans="1:30" x14ac:dyDescent="0.55000000000000004">
      <c r="A221">
        <v>5</v>
      </c>
      <c r="B221" s="34"/>
      <c r="C221" s="34">
        <v>107.31</v>
      </c>
      <c r="D221" s="48">
        <v>107.31</v>
      </c>
      <c r="E221" s="48">
        <v>115.58</v>
      </c>
      <c r="F221" s="48">
        <v>115.58</v>
      </c>
      <c r="G221" s="48">
        <v>57.78</v>
      </c>
      <c r="H221" s="48">
        <v>360</v>
      </c>
      <c r="I221" s="54">
        <v>3150</v>
      </c>
      <c r="J221" s="50">
        <f t="shared" si="23"/>
        <v>1134000</v>
      </c>
      <c r="K221" s="34"/>
      <c r="M221" s="3">
        <f t="shared" si="24"/>
        <v>2372.8180475994004</v>
      </c>
      <c r="Q221" s="4">
        <f t="shared" si="26"/>
        <v>141.18195240059958</v>
      </c>
      <c r="S221">
        <f t="shared" si="25"/>
        <v>107.31</v>
      </c>
      <c r="T221">
        <v>5800</v>
      </c>
      <c r="V221" s="4">
        <f t="shared" si="27"/>
        <v>5941.1819524005996</v>
      </c>
      <c r="X221" s="4">
        <f t="shared" si="28"/>
        <v>1647.0803250839708</v>
      </c>
      <c r="Y221" s="93">
        <f t="shared" si="29"/>
        <v>0.27723108604988106</v>
      </c>
    </row>
    <row r="222" spans="1:30" x14ac:dyDescent="0.55000000000000004">
      <c r="A222">
        <v>6</v>
      </c>
      <c r="B222" s="34"/>
      <c r="C222" s="34">
        <v>135.97</v>
      </c>
      <c r="D222" s="48">
        <v>135.97</v>
      </c>
      <c r="E222" s="48">
        <v>146.49</v>
      </c>
      <c r="F222" s="48">
        <v>146.49</v>
      </c>
      <c r="G222" s="48">
        <v>74.680000000000007</v>
      </c>
      <c r="H222" s="48">
        <v>60</v>
      </c>
      <c r="I222" s="54">
        <v>3850</v>
      </c>
      <c r="J222" s="50">
        <f t="shared" si="23"/>
        <v>231000</v>
      </c>
      <c r="K222" s="34"/>
      <c r="M222" s="3">
        <f t="shared" si="24"/>
        <v>2900.1109470659339</v>
      </c>
      <c r="Q222" s="4">
        <f t="shared" si="26"/>
        <v>-386.11094706593394</v>
      </c>
      <c r="S222">
        <f t="shared" si="25"/>
        <v>135.97</v>
      </c>
      <c r="T222">
        <f>+T223</f>
        <v>6800</v>
      </c>
      <c r="V222" s="4">
        <f t="shared" si="27"/>
        <v>6413.8890529340661</v>
      </c>
      <c r="X222" s="4">
        <f t="shared" si="28"/>
        <v>1174.3732245505043</v>
      </c>
      <c r="Y222" s="93">
        <f t="shared" si="29"/>
        <v>0.18309846254875289</v>
      </c>
    </row>
    <row r="223" spans="1:30" x14ac:dyDescent="0.55000000000000004">
      <c r="A223">
        <v>7</v>
      </c>
      <c r="B223" s="34"/>
      <c r="C223" s="34">
        <v>137.66</v>
      </c>
      <c r="D223" s="48">
        <v>137.66</v>
      </c>
      <c r="E223" s="48">
        <v>147.5</v>
      </c>
      <c r="F223" s="48">
        <v>147.5</v>
      </c>
      <c r="G223" s="48">
        <v>74.680000000000007</v>
      </c>
      <c r="H223" s="48">
        <v>96</v>
      </c>
      <c r="I223" s="54">
        <v>3850</v>
      </c>
      <c r="J223" s="50">
        <f t="shared" si="23"/>
        <v>369600</v>
      </c>
      <c r="K223" s="34"/>
      <c r="M223" s="3">
        <f t="shared" si="24"/>
        <v>2900.1109470659339</v>
      </c>
      <c r="Q223" s="4">
        <f t="shared" si="26"/>
        <v>-386.11094706593394</v>
      </c>
      <c r="S223">
        <f t="shared" si="25"/>
        <v>137.66</v>
      </c>
      <c r="T223">
        <v>6800</v>
      </c>
      <c r="V223" s="4">
        <f t="shared" si="27"/>
        <v>6413.8890529340661</v>
      </c>
      <c r="X223" s="4">
        <f t="shared" si="28"/>
        <v>1174.3732245505043</v>
      </c>
      <c r="Y223" s="93">
        <f t="shared" si="29"/>
        <v>0.18309846254875289</v>
      </c>
    </row>
    <row r="224" spans="1:30" x14ac:dyDescent="0.55000000000000004">
      <c r="A224">
        <v>8</v>
      </c>
      <c r="B224" s="34"/>
      <c r="C224" s="34">
        <v>150.58000000000001</v>
      </c>
      <c r="D224" s="48">
        <v>150.58000000000001</v>
      </c>
      <c r="E224" s="48">
        <v>164.72</v>
      </c>
      <c r="F224" s="48">
        <v>164.72</v>
      </c>
      <c r="G224" s="48">
        <v>84.01</v>
      </c>
      <c r="H224" s="48">
        <v>96</v>
      </c>
      <c r="I224" s="54">
        <v>4250</v>
      </c>
      <c r="J224" s="50">
        <f t="shared" si="23"/>
        <v>408000</v>
      </c>
      <c r="K224" s="34"/>
      <c r="M224" s="3">
        <f t="shared" si="24"/>
        <v>3201.4211753325244</v>
      </c>
      <c r="Q224" s="4">
        <f t="shared" si="26"/>
        <v>-687.4211753325244</v>
      </c>
      <c r="S224">
        <f t="shared" si="25"/>
        <v>150.58000000000001</v>
      </c>
      <c r="T224">
        <v>7700</v>
      </c>
      <c r="V224" s="4">
        <f t="shared" si="27"/>
        <v>7012.5788246674756</v>
      </c>
      <c r="X224" s="4">
        <f t="shared" si="28"/>
        <v>575.6834528170948</v>
      </c>
      <c r="Y224" s="93">
        <f t="shared" si="29"/>
        <v>8.209297424109778E-2</v>
      </c>
    </row>
    <row r="225" spans="2:25" x14ac:dyDescent="0.55000000000000004">
      <c r="B225" s="34"/>
      <c r="C225" s="47" t="s">
        <v>392</v>
      </c>
      <c r="D225" s="51">
        <v>151684.20000000001</v>
      </c>
      <c r="E225" s="52">
        <v>163480.92000000001</v>
      </c>
      <c r="F225" s="52">
        <v>163480.92000000001</v>
      </c>
      <c r="G225" s="51">
        <v>82114.559999999998</v>
      </c>
      <c r="H225" s="49">
        <v>1572</v>
      </c>
      <c r="I225" s="48" t="s">
        <v>393</v>
      </c>
      <c r="J225" s="50">
        <f>+SUM(J217:J224)</f>
        <v>4472520</v>
      </c>
      <c r="K225" s="34"/>
      <c r="M225" s="3"/>
      <c r="Y225" s="94"/>
    </row>
    <row r="226" spans="2:25" ht="28.3" x14ac:dyDescent="0.55000000000000004">
      <c r="B226" s="47" t="s">
        <v>394</v>
      </c>
      <c r="C226" s="34" t="s">
        <v>395</v>
      </c>
      <c r="D226" s="48">
        <v>880.41</v>
      </c>
      <c r="E226" s="48" t="s">
        <v>393</v>
      </c>
      <c r="F226" s="51">
        <v>1126.3499999999999</v>
      </c>
      <c r="G226" s="48" t="s">
        <v>393</v>
      </c>
      <c r="H226" s="48">
        <v>32</v>
      </c>
      <c r="I226" s="48">
        <v>511</v>
      </c>
      <c r="J226" s="50">
        <f>+I226*H226</f>
        <v>16352</v>
      </c>
      <c r="K226" s="34" t="s">
        <v>396</v>
      </c>
      <c r="Y226" s="94">
        <f>+MAX(Y217:Y224)</f>
        <v>0.47494252126997222</v>
      </c>
    </row>
    <row r="227" spans="2:25" x14ac:dyDescent="0.55000000000000004">
      <c r="B227" s="34"/>
      <c r="C227" s="34" t="s">
        <v>397</v>
      </c>
      <c r="D227" s="48">
        <v>779.18</v>
      </c>
      <c r="E227" s="48" t="s">
        <v>393</v>
      </c>
      <c r="F227" s="51">
        <v>1107</v>
      </c>
      <c r="G227" s="48" t="s">
        <v>393</v>
      </c>
      <c r="H227" s="48">
        <v>35</v>
      </c>
      <c r="I227" s="49">
        <v>1148</v>
      </c>
      <c r="J227" s="50">
        <f>+I227*H227</f>
        <v>40180</v>
      </c>
      <c r="K227" s="34"/>
    </row>
    <row r="228" spans="2:25" x14ac:dyDescent="0.55000000000000004">
      <c r="B228" s="34"/>
      <c r="C228" s="34" t="s">
        <v>398</v>
      </c>
      <c r="D228" s="48">
        <v>886.33</v>
      </c>
      <c r="E228" s="48" t="s">
        <v>393</v>
      </c>
      <c r="F228" s="51">
        <v>1107</v>
      </c>
      <c r="G228" s="48" t="s">
        <v>393</v>
      </c>
      <c r="H228" s="48">
        <v>10</v>
      </c>
      <c r="I228" s="49">
        <v>1808</v>
      </c>
      <c r="J228" s="50">
        <f>+I228*H228</f>
        <v>18080</v>
      </c>
      <c r="K228" s="34"/>
    </row>
    <row r="229" spans="2:25" x14ac:dyDescent="0.55000000000000004">
      <c r="B229" s="34"/>
      <c r="C229" s="34" t="s">
        <v>399</v>
      </c>
      <c r="D229" s="48">
        <v>783.96</v>
      </c>
      <c r="E229" s="48" t="s">
        <v>393</v>
      </c>
      <c r="F229" s="51">
        <v>1107</v>
      </c>
      <c r="G229" s="48" t="s">
        <v>393</v>
      </c>
      <c r="H229" s="48">
        <v>22</v>
      </c>
      <c r="I229" s="48">
        <v>639</v>
      </c>
      <c r="J229" s="50">
        <f>+I229*H229</f>
        <v>14058</v>
      </c>
      <c r="K229" s="34"/>
    </row>
    <row r="230" spans="2:25" x14ac:dyDescent="0.55000000000000004">
      <c r="B230" s="34"/>
      <c r="C230" s="34" t="s">
        <v>400</v>
      </c>
      <c r="D230" s="48">
        <v>858.89</v>
      </c>
      <c r="E230" s="48" t="s">
        <v>393</v>
      </c>
      <c r="F230" s="51">
        <v>1107</v>
      </c>
      <c r="G230" s="48" t="s">
        <v>393</v>
      </c>
      <c r="H230" s="48">
        <v>12</v>
      </c>
      <c r="I230" s="48">
        <v>837</v>
      </c>
      <c r="J230" s="50">
        <f>+I230*H230</f>
        <v>10044</v>
      </c>
      <c r="K230" s="34"/>
    </row>
    <row r="231" spans="2:25" x14ac:dyDescent="0.55000000000000004">
      <c r="B231" s="34"/>
      <c r="C231" s="47" t="s">
        <v>401</v>
      </c>
      <c r="D231" s="51">
        <v>4188.7700000000004</v>
      </c>
      <c r="E231" s="48" t="s">
        <v>393</v>
      </c>
      <c r="F231" s="51">
        <v>5554.35</v>
      </c>
      <c r="G231" s="51">
        <v>3304.67</v>
      </c>
      <c r="H231" s="48">
        <v>110</v>
      </c>
      <c r="I231" s="34" t="s">
        <v>393</v>
      </c>
      <c r="J231" s="50">
        <f>+SUM(J226:J230)</f>
        <v>98714</v>
      </c>
      <c r="K231" s="34"/>
    </row>
    <row r="232" spans="2:25" ht="28.3" x14ac:dyDescent="0.55000000000000004">
      <c r="B232" s="47" t="s">
        <v>402</v>
      </c>
      <c r="C232" s="34"/>
      <c r="D232" s="53">
        <v>155872.97</v>
      </c>
      <c r="E232" s="34" t="s">
        <v>393</v>
      </c>
      <c r="F232" s="53">
        <v>169035.27</v>
      </c>
      <c r="G232" s="53">
        <v>85419.23</v>
      </c>
      <c r="H232" s="50">
        <v>1682</v>
      </c>
      <c r="I232" s="34" t="s">
        <v>393</v>
      </c>
      <c r="J232" s="54">
        <f>+J231+J225</f>
        <v>4571234</v>
      </c>
      <c r="K232" s="34"/>
    </row>
    <row r="234" spans="2:25" x14ac:dyDescent="0.55000000000000004">
      <c r="I234" s="5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4511-FFDA-474F-856E-B158F3783FF0}">
  <dimension ref="A1:AD186"/>
  <sheetViews>
    <sheetView workbookViewId="0"/>
  </sheetViews>
  <sheetFormatPr defaultRowHeight="17.600000000000001" x14ac:dyDescent="0.55000000000000004"/>
  <cols>
    <col min="3" max="3" width="12.140625" bestFit="1" customWidth="1"/>
    <col min="4" max="4" width="10.640625" bestFit="1" customWidth="1"/>
    <col min="5" max="5" width="14.35546875" bestFit="1" customWidth="1"/>
    <col min="6" max="6" width="12.78515625" bestFit="1" customWidth="1"/>
    <col min="7" max="7" width="14.28515625" bestFit="1" customWidth="1"/>
    <col min="9" max="10" width="10.640625" bestFit="1" customWidth="1"/>
    <col min="12" max="12" width="9.140625" style="14"/>
    <col min="20" max="20" width="10.78515625" bestFit="1" customWidth="1"/>
  </cols>
  <sheetData>
    <row r="1" spans="1:12" s="14" customFormat="1" x14ac:dyDescent="0.55000000000000004">
      <c r="L1" s="14" t="s">
        <v>160</v>
      </c>
    </row>
    <row r="3" spans="1:12" x14ac:dyDescent="0.55000000000000004">
      <c r="A3" t="s">
        <v>35</v>
      </c>
    </row>
    <row r="5" spans="1:12" x14ac:dyDescent="0.55000000000000004">
      <c r="A5" t="s">
        <v>159</v>
      </c>
    </row>
    <row r="6" spans="1:12" x14ac:dyDescent="0.55000000000000004">
      <c r="E6" t="s">
        <v>161</v>
      </c>
      <c r="F6" t="s">
        <v>162</v>
      </c>
      <c r="G6" t="s">
        <v>163</v>
      </c>
    </row>
    <row r="7" spans="1:12" x14ac:dyDescent="0.55000000000000004">
      <c r="B7" t="s">
        <v>164</v>
      </c>
      <c r="E7" s="95">
        <v>3601732.3459999999</v>
      </c>
      <c r="F7" t="s">
        <v>165</v>
      </c>
      <c r="G7" t="s">
        <v>576</v>
      </c>
    </row>
    <row r="8" spans="1:12" x14ac:dyDescent="0.55000000000000004">
      <c r="B8" t="s">
        <v>166</v>
      </c>
      <c r="E8" s="95">
        <v>1286474.5220000001</v>
      </c>
      <c r="F8" t="s">
        <v>165</v>
      </c>
    </row>
    <row r="9" spans="1:12" x14ac:dyDescent="0.55000000000000004">
      <c r="B9" t="s">
        <v>167</v>
      </c>
      <c r="E9" s="95">
        <v>2293943</v>
      </c>
      <c r="F9" t="s">
        <v>165</v>
      </c>
    </row>
    <row r="10" spans="1:12" x14ac:dyDescent="0.55000000000000004">
      <c r="B10" t="s">
        <v>159</v>
      </c>
      <c r="E10" s="13">
        <f>+(E7-E8)/E9</f>
        <v>1.0092917844950813</v>
      </c>
      <c r="F10" t="s">
        <v>165</v>
      </c>
    </row>
    <row r="12" spans="1:12" x14ac:dyDescent="0.55000000000000004">
      <c r="A12" t="s">
        <v>169</v>
      </c>
    </row>
    <row r="13" spans="1:12" x14ac:dyDescent="0.55000000000000004">
      <c r="E13" t="s">
        <v>170</v>
      </c>
      <c r="F13" t="s">
        <v>171</v>
      </c>
      <c r="G13" t="s">
        <v>163</v>
      </c>
    </row>
    <row r="14" spans="1:12" x14ac:dyDescent="0.55000000000000004">
      <c r="B14" t="s">
        <v>172</v>
      </c>
      <c r="E14" s="1">
        <v>90074.6</v>
      </c>
      <c r="F14" t="s">
        <v>577</v>
      </c>
    </row>
    <row r="16" spans="1:12" x14ac:dyDescent="0.55000000000000004">
      <c r="B16" t="s">
        <v>176</v>
      </c>
    </row>
    <row r="17" spans="1:18" x14ac:dyDescent="0.55000000000000004">
      <c r="B17" t="s">
        <v>177</v>
      </c>
      <c r="E17">
        <f>+E14*G17</f>
        <v>270106.70302000002</v>
      </c>
      <c r="G17" s="2">
        <v>2.9986999999999999</v>
      </c>
      <c r="H17" t="s">
        <v>179</v>
      </c>
      <c r="I17" t="s">
        <v>578</v>
      </c>
    </row>
    <row r="18" spans="1:18" x14ac:dyDescent="0.55000000000000004">
      <c r="B18" t="s">
        <v>181</v>
      </c>
      <c r="E18">
        <f>+E19-E17</f>
        <v>151744.79697999998</v>
      </c>
    </row>
    <row r="19" spans="1:18" x14ac:dyDescent="0.55000000000000004">
      <c r="B19" t="s">
        <v>184</v>
      </c>
      <c r="E19" s="96">
        <f>+N19</f>
        <v>421851.5</v>
      </c>
      <c r="G19" s="97" t="s">
        <v>579</v>
      </c>
      <c r="H19" s="98"/>
      <c r="I19" s="98"/>
      <c r="J19" s="98"/>
      <c r="N19">
        <v>421851.5</v>
      </c>
      <c r="O19" t="s">
        <v>580</v>
      </c>
    </row>
    <row r="20" spans="1:18" x14ac:dyDescent="0.55000000000000004">
      <c r="G20" s="97" t="s">
        <v>581</v>
      </c>
      <c r="H20" s="98"/>
      <c r="I20" s="98"/>
      <c r="J20" s="98"/>
      <c r="N20">
        <v>9.5</v>
      </c>
      <c r="O20" t="s">
        <v>582</v>
      </c>
    </row>
    <row r="21" spans="1:18" x14ac:dyDescent="0.55000000000000004">
      <c r="N21">
        <f>+N19*0.3025*N20</f>
        <v>1212295.7481249999</v>
      </c>
    </row>
    <row r="23" spans="1:18" x14ac:dyDescent="0.55000000000000004">
      <c r="N23">
        <v>2173</v>
      </c>
      <c r="O23">
        <v>1.8</v>
      </c>
      <c r="P23">
        <v>40</v>
      </c>
      <c r="R23">
        <f>+N23*O23*P23+Q23</f>
        <v>156456</v>
      </c>
    </row>
    <row r="25" spans="1:18" s="14" customFormat="1" x14ac:dyDescent="0.55000000000000004"/>
    <row r="27" spans="1:18" x14ac:dyDescent="0.55000000000000004">
      <c r="A27" t="s">
        <v>186</v>
      </c>
      <c r="B27" t="s">
        <v>38</v>
      </c>
    </row>
    <row r="28" spans="1:18" x14ac:dyDescent="0.55000000000000004">
      <c r="E28" t="s">
        <v>170</v>
      </c>
      <c r="F28" t="s">
        <v>171</v>
      </c>
      <c r="G28" t="s">
        <v>163</v>
      </c>
    </row>
    <row r="29" spans="1:18" x14ac:dyDescent="0.55000000000000004">
      <c r="B29" t="s">
        <v>187</v>
      </c>
      <c r="E29" s="1">
        <f>+SUM(E30:E32)</f>
        <v>2173</v>
      </c>
      <c r="F29" t="s">
        <v>583</v>
      </c>
    </row>
    <row r="30" spans="1:18" x14ac:dyDescent="0.55000000000000004">
      <c r="B30" t="s">
        <v>188</v>
      </c>
      <c r="E30" s="1">
        <f>212+61</f>
        <v>273</v>
      </c>
      <c r="F30" t="s">
        <v>583</v>
      </c>
    </row>
    <row r="31" spans="1:18" x14ac:dyDescent="0.55000000000000004">
      <c r="B31" t="s">
        <v>342</v>
      </c>
      <c r="E31" s="1">
        <f>194+562+230+232+100+37+6</f>
        <v>1361</v>
      </c>
      <c r="F31" t="s">
        <v>583</v>
      </c>
    </row>
    <row r="32" spans="1:18" x14ac:dyDescent="0.55000000000000004">
      <c r="B32" t="s">
        <v>343</v>
      </c>
      <c r="E32" s="1">
        <f>77+221+91+92+40+15+3</f>
        <v>539</v>
      </c>
      <c r="F32" t="s">
        <v>583</v>
      </c>
    </row>
    <row r="34" spans="1:16" s="14" customFormat="1" x14ac:dyDescent="0.55000000000000004"/>
    <row r="36" spans="1:16" x14ac:dyDescent="0.55000000000000004">
      <c r="A36" t="s">
        <v>186</v>
      </c>
      <c r="B36" t="s">
        <v>191</v>
      </c>
    </row>
    <row r="38" spans="1:16" x14ac:dyDescent="0.55000000000000004">
      <c r="B38" t="s">
        <v>187</v>
      </c>
    </row>
    <row r="43" spans="1:16" x14ac:dyDescent="0.55000000000000004">
      <c r="C43" t="s">
        <v>230</v>
      </c>
      <c r="D43" t="s">
        <v>210</v>
      </c>
      <c r="E43" t="s">
        <v>195</v>
      </c>
      <c r="F43" t="s">
        <v>38</v>
      </c>
      <c r="G43" t="s">
        <v>348</v>
      </c>
      <c r="H43" t="s">
        <v>232</v>
      </c>
      <c r="I43" t="s">
        <v>233</v>
      </c>
      <c r="J43" t="s">
        <v>349</v>
      </c>
      <c r="K43" t="s">
        <v>350</v>
      </c>
    </row>
    <row r="44" spans="1:16" x14ac:dyDescent="0.55000000000000004">
      <c r="A44">
        <v>1</v>
      </c>
      <c r="B44" t="s">
        <v>196</v>
      </c>
      <c r="E44" s="1">
        <v>80.150000000000006</v>
      </c>
      <c r="F44" s="1">
        <v>194</v>
      </c>
      <c r="G44" s="99">
        <f>+H44/(E44*0.3025)</f>
        <v>50.888055969437467</v>
      </c>
      <c r="H44" s="1">
        <v>1233.8</v>
      </c>
      <c r="I44">
        <f>+H44*F44</f>
        <v>239357.19999999998</v>
      </c>
      <c r="L44" s="14" t="s">
        <v>583</v>
      </c>
      <c r="P44">
        <f>+E44*0.3025*F44</f>
        <v>4703.60275</v>
      </c>
    </row>
    <row r="45" spans="1:16" x14ac:dyDescent="0.55000000000000004">
      <c r="A45">
        <v>2</v>
      </c>
      <c r="E45" s="1">
        <v>112.45</v>
      </c>
      <c r="F45" s="1">
        <v>562</v>
      </c>
      <c r="G45" s="99">
        <f t="shared" ref="G45:G58" si="0">+H45/(E45*0.3025)</f>
        <v>46.26041325988777</v>
      </c>
      <c r="H45" s="1">
        <v>1573.6</v>
      </c>
      <c r="I45">
        <f t="shared" ref="I45:I58" si="1">+H45*F45</f>
        <v>884363.2</v>
      </c>
      <c r="L45" s="14" t="s">
        <v>583</v>
      </c>
      <c r="P45">
        <f t="shared" ref="P45:P50" si="2">+E45*0.3025*F45</f>
        <v>19117.062250000003</v>
      </c>
    </row>
    <row r="46" spans="1:16" x14ac:dyDescent="0.55000000000000004">
      <c r="A46">
        <v>3</v>
      </c>
      <c r="E46" s="1">
        <v>131.44999999999999</v>
      </c>
      <c r="F46" s="1">
        <v>230</v>
      </c>
      <c r="G46" s="99">
        <f t="shared" si="0"/>
        <v>45.335403902435964</v>
      </c>
      <c r="H46" s="1">
        <v>1802.7</v>
      </c>
      <c r="I46">
        <f t="shared" si="1"/>
        <v>414621</v>
      </c>
      <c r="L46" s="14" t="s">
        <v>584</v>
      </c>
      <c r="P46">
        <f t="shared" si="2"/>
        <v>9145.6337499999991</v>
      </c>
    </row>
    <row r="47" spans="1:16" x14ac:dyDescent="0.55000000000000004">
      <c r="A47">
        <v>4</v>
      </c>
      <c r="E47" s="1">
        <v>155</v>
      </c>
      <c r="F47" s="1">
        <v>232</v>
      </c>
      <c r="G47" s="99">
        <f t="shared" si="0"/>
        <v>43.947747267395364</v>
      </c>
      <c r="H47" s="1">
        <v>2060.6</v>
      </c>
      <c r="I47">
        <f t="shared" si="1"/>
        <v>478059.19999999995</v>
      </c>
      <c r="L47" s="14" t="s">
        <v>584</v>
      </c>
      <c r="P47">
        <f t="shared" si="2"/>
        <v>10877.9</v>
      </c>
    </row>
    <row r="48" spans="1:16" x14ac:dyDescent="0.55000000000000004">
      <c r="A48">
        <v>5</v>
      </c>
      <c r="E48" s="1">
        <v>173</v>
      </c>
      <c r="F48" s="1">
        <v>100</v>
      </c>
      <c r="G48" s="99">
        <f t="shared" si="0"/>
        <v>40.246500740457648</v>
      </c>
      <c r="H48" s="1">
        <v>2106.1999999999998</v>
      </c>
      <c r="I48">
        <f t="shared" si="1"/>
        <v>210619.99999999997</v>
      </c>
      <c r="L48" s="14" t="s">
        <v>584</v>
      </c>
      <c r="P48">
        <f t="shared" si="2"/>
        <v>5233.25</v>
      </c>
    </row>
    <row r="49" spans="1:19" x14ac:dyDescent="0.55000000000000004">
      <c r="A49">
        <v>6</v>
      </c>
      <c r="E49" s="1">
        <v>187.5</v>
      </c>
      <c r="F49" s="1">
        <v>37</v>
      </c>
      <c r="G49" s="99">
        <f t="shared" si="0"/>
        <v>38.396473829201106</v>
      </c>
      <c r="H49" s="1">
        <v>2177.8000000000002</v>
      </c>
      <c r="I49">
        <f t="shared" si="1"/>
        <v>80578.600000000006</v>
      </c>
      <c r="L49" s="14" t="s">
        <v>584</v>
      </c>
      <c r="P49">
        <f t="shared" si="2"/>
        <v>2098.59375</v>
      </c>
    </row>
    <row r="50" spans="1:19" x14ac:dyDescent="0.55000000000000004">
      <c r="A50">
        <v>7</v>
      </c>
      <c r="E50" s="1">
        <v>209</v>
      </c>
      <c r="F50" s="1">
        <v>6</v>
      </c>
      <c r="G50" s="99">
        <f t="shared" si="0"/>
        <v>37.007394519356239</v>
      </c>
      <c r="H50" s="1">
        <v>2339.6999999999998</v>
      </c>
      <c r="I50">
        <f t="shared" si="1"/>
        <v>14038.199999999999</v>
      </c>
      <c r="L50" s="14" t="s">
        <v>584</v>
      </c>
      <c r="P50">
        <f t="shared" si="2"/>
        <v>379.33499999999998</v>
      </c>
    </row>
    <row r="51" spans="1:19" x14ac:dyDescent="0.55000000000000004">
      <c r="L51" s="14" t="s">
        <v>584</v>
      </c>
      <c r="M51" t="s">
        <v>352</v>
      </c>
      <c r="N51">
        <f>+SUM(I44:I50)</f>
        <v>2321637.4</v>
      </c>
      <c r="O51" t="s">
        <v>353</v>
      </c>
      <c r="P51">
        <f>+SUM(P44:P50)</f>
        <v>51555.377500000002</v>
      </c>
      <c r="Q51" t="s">
        <v>39</v>
      </c>
      <c r="R51" s="43">
        <f>+N51/P51</f>
        <v>45.031915438888987</v>
      </c>
      <c r="S51" s="5" t="s">
        <v>354</v>
      </c>
    </row>
    <row r="52" spans="1:19" x14ac:dyDescent="0.55000000000000004">
      <c r="A52">
        <v>1</v>
      </c>
      <c r="B52" t="s">
        <v>198</v>
      </c>
      <c r="E52" s="1">
        <v>80.150000000000006</v>
      </c>
      <c r="F52" s="1">
        <v>77</v>
      </c>
      <c r="G52" s="99">
        <f t="shared" si="0"/>
        <v>56.538618190067176</v>
      </c>
      <c r="H52" s="1">
        <v>1370.8</v>
      </c>
      <c r="I52">
        <f t="shared" si="1"/>
        <v>105551.59999999999</v>
      </c>
      <c r="L52" s="14" t="s">
        <v>584</v>
      </c>
      <c r="P52">
        <f>+E52*0.3025*F52</f>
        <v>1866.893875</v>
      </c>
    </row>
    <row r="53" spans="1:19" x14ac:dyDescent="0.55000000000000004">
      <c r="A53">
        <v>2</v>
      </c>
      <c r="E53" s="1">
        <v>112.45</v>
      </c>
      <c r="F53" s="1">
        <v>221</v>
      </c>
      <c r="G53" s="99">
        <f t="shared" si="0"/>
        <v>51.399152607770581</v>
      </c>
      <c r="H53" s="1">
        <v>1748.4</v>
      </c>
      <c r="I53">
        <f t="shared" si="1"/>
        <v>386396.4</v>
      </c>
      <c r="L53" s="14" t="s">
        <v>584</v>
      </c>
      <c r="P53">
        <f t="shared" ref="P53:P58" si="3">+E53*0.3025*F53</f>
        <v>7517.5636250000007</v>
      </c>
    </row>
    <row r="54" spans="1:19" x14ac:dyDescent="0.55000000000000004">
      <c r="A54">
        <v>3</v>
      </c>
      <c r="E54" s="1">
        <v>131.44999999999999</v>
      </c>
      <c r="F54" s="1">
        <v>91</v>
      </c>
      <c r="G54" s="99">
        <f t="shared" si="0"/>
        <v>50.372671002706625</v>
      </c>
      <c r="H54" s="1">
        <v>2003</v>
      </c>
      <c r="I54">
        <f t="shared" si="1"/>
        <v>182273</v>
      </c>
      <c r="L54" s="14" t="s">
        <v>584</v>
      </c>
      <c r="P54">
        <f t="shared" si="3"/>
        <v>3618.4898749999998</v>
      </c>
    </row>
    <row r="55" spans="1:19" x14ac:dyDescent="0.55000000000000004">
      <c r="A55">
        <v>4</v>
      </c>
      <c r="E55" s="1">
        <v>155</v>
      </c>
      <c r="F55" s="1">
        <v>92</v>
      </c>
      <c r="G55" s="99">
        <f t="shared" si="0"/>
        <v>48.8296454278859</v>
      </c>
      <c r="H55" s="1">
        <v>2289.5</v>
      </c>
      <c r="I55">
        <f t="shared" si="1"/>
        <v>210634</v>
      </c>
      <c r="L55" s="14" t="s">
        <v>584</v>
      </c>
      <c r="P55">
        <f t="shared" si="3"/>
        <v>4313.6499999999996</v>
      </c>
    </row>
    <row r="56" spans="1:19" x14ac:dyDescent="0.55000000000000004">
      <c r="A56">
        <v>5</v>
      </c>
      <c r="E56" s="1">
        <v>173</v>
      </c>
      <c r="F56" s="1">
        <v>40</v>
      </c>
      <c r="G56" s="99">
        <f t="shared" si="0"/>
        <v>44.717909520852245</v>
      </c>
      <c r="H56" s="1">
        <v>2340.1999999999998</v>
      </c>
      <c r="I56">
        <f t="shared" si="1"/>
        <v>93608</v>
      </c>
      <c r="L56" s="14" t="s">
        <v>584</v>
      </c>
      <c r="P56">
        <f t="shared" si="3"/>
        <v>2093.2999999999997</v>
      </c>
    </row>
    <row r="57" spans="1:19" x14ac:dyDescent="0.55000000000000004">
      <c r="A57">
        <v>6</v>
      </c>
      <c r="E57" s="1">
        <v>187.5</v>
      </c>
      <c r="F57" s="1">
        <v>15</v>
      </c>
      <c r="G57" s="99">
        <f t="shared" si="0"/>
        <v>42.661377410468319</v>
      </c>
      <c r="H57" s="1">
        <v>2419.6999999999998</v>
      </c>
      <c r="I57">
        <f t="shared" si="1"/>
        <v>36295.5</v>
      </c>
      <c r="L57" s="14" t="s">
        <v>584</v>
      </c>
      <c r="P57">
        <f t="shared" si="3"/>
        <v>850.78125</v>
      </c>
    </row>
    <row r="58" spans="1:19" x14ac:dyDescent="0.55000000000000004">
      <c r="A58">
        <v>7</v>
      </c>
      <c r="E58" s="1">
        <v>209</v>
      </c>
      <c r="F58" s="1">
        <v>3</v>
      </c>
      <c r="G58" s="99">
        <f t="shared" si="0"/>
        <v>41.119854482185929</v>
      </c>
      <c r="H58" s="1">
        <v>2599.6999999999998</v>
      </c>
      <c r="I58">
        <f t="shared" si="1"/>
        <v>7799.0999999999995</v>
      </c>
      <c r="L58" s="14" t="s">
        <v>584</v>
      </c>
      <c r="P58">
        <f t="shared" si="3"/>
        <v>189.66749999999999</v>
      </c>
    </row>
    <row r="59" spans="1:19" x14ac:dyDescent="0.55000000000000004">
      <c r="L59" s="14" t="s">
        <v>584</v>
      </c>
      <c r="M59" t="s">
        <v>355</v>
      </c>
      <c r="N59">
        <f>+SUM(I52:I58)</f>
        <v>1022557.6</v>
      </c>
      <c r="O59" t="s">
        <v>356</v>
      </c>
      <c r="P59">
        <f>+SUM(P52:P58)</f>
        <v>20450.346124999996</v>
      </c>
      <c r="Q59" t="s">
        <v>39</v>
      </c>
      <c r="R59" s="43">
        <f>+N59/P59</f>
        <v>50.001970321174703</v>
      </c>
      <c r="S59" s="5" t="s">
        <v>585</v>
      </c>
    </row>
    <row r="60" spans="1:19" x14ac:dyDescent="0.55000000000000004">
      <c r="B60" t="s">
        <v>586</v>
      </c>
      <c r="E60" s="1">
        <v>80.150000000000006</v>
      </c>
      <c r="F60" s="1">
        <v>212</v>
      </c>
      <c r="L60" s="14" t="s">
        <v>584</v>
      </c>
    </row>
    <row r="61" spans="1:19" x14ac:dyDescent="0.55000000000000004">
      <c r="E61" s="1">
        <v>112.45</v>
      </c>
      <c r="F61" s="1">
        <v>61</v>
      </c>
      <c r="L61" s="14" t="s">
        <v>584</v>
      </c>
    </row>
    <row r="62" spans="1:19" x14ac:dyDescent="0.55000000000000004">
      <c r="G62">
        <f>+I62/(E60*0.3025*F60+E61*0.3025*F61)</f>
        <v>5.282880594732938</v>
      </c>
      <c r="I62" s="1">
        <v>38116</v>
      </c>
      <c r="L62" s="14" t="s">
        <v>584</v>
      </c>
    </row>
    <row r="63" spans="1:19" x14ac:dyDescent="0.55000000000000004">
      <c r="L63" s="14" t="s">
        <v>584</v>
      </c>
    </row>
    <row r="64" spans="1:19" x14ac:dyDescent="0.55000000000000004">
      <c r="B64" t="s">
        <v>587</v>
      </c>
      <c r="L64" s="14" t="s">
        <v>584</v>
      </c>
    </row>
    <row r="65" spans="1:12" x14ac:dyDescent="0.55000000000000004">
      <c r="B65" t="s">
        <v>588</v>
      </c>
      <c r="E65" s="1">
        <v>2147.23</v>
      </c>
      <c r="F65" s="1"/>
      <c r="G65" s="1">
        <v>20.161000000000001</v>
      </c>
      <c r="I65">
        <f>+G65*E65*0.3025</f>
        <v>13095.316969075002</v>
      </c>
      <c r="L65" s="14" t="s">
        <v>584</v>
      </c>
    </row>
    <row r="66" spans="1:12" x14ac:dyDescent="0.55000000000000004">
      <c r="B66" t="s">
        <v>589</v>
      </c>
      <c r="E66" s="1">
        <v>2147.23</v>
      </c>
      <c r="F66" s="1"/>
      <c r="G66" s="1">
        <v>44.8</v>
      </c>
      <c r="I66">
        <f>+G66*E66*0.3025</f>
        <v>29099.260959999996</v>
      </c>
      <c r="L66" s="14" t="s">
        <v>584</v>
      </c>
    </row>
    <row r="67" spans="1:12" x14ac:dyDescent="0.55000000000000004">
      <c r="B67" t="s">
        <v>590</v>
      </c>
      <c r="E67" s="1">
        <v>252.62</v>
      </c>
      <c r="F67" s="1"/>
      <c r="G67" s="1">
        <v>38.081000000000003</v>
      </c>
      <c r="I67">
        <f>+G67*E67*0.3025</f>
        <v>2910.05672155</v>
      </c>
      <c r="L67" s="14" t="s">
        <v>584</v>
      </c>
    </row>
    <row r="68" spans="1:12" x14ac:dyDescent="0.55000000000000004">
      <c r="B68" t="s">
        <v>591</v>
      </c>
      <c r="E68" s="1">
        <v>252.62</v>
      </c>
      <c r="F68" s="1"/>
      <c r="G68" s="1">
        <v>38.081000000000003</v>
      </c>
      <c r="I68">
        <f>+G68*E68*0.3025</f>
        <v>2910.05672155</v>
      </c>
      <c r="L68" s="14" t="s">
        <v>584</v>
      </c>
    </row>
    <row r="69" spans="1:12" x14ac:dyDescent="0.55000000000000004">
      <c r="B69" t="s">
        <v>592</v>
      </c>
      <c r="E69" s="1">
        <v>126.31</v>
      </c>
      <c r="F69" s="1"/>
      <c r="G69" s="1">
        <v>38.081000000000003</v>
      </c>
      <c r="I69">
        <f>+G69*E69*0.3025</f>
        <v>1455.028360775</v>
      </c>
      <c r="L69" s="14" t="s">
        <v>584</v>
      </c>
    </row>
    <row r="70" spans="1:12" x14ac:dyDescent="0.55000000000000004">
      <c r="L70" s="14" t="s">
        <v>584</v>
      </c>
    </row>
    <row r="71" spans="1:12" x14ac:dyDescent="0.55000000000000004">
      <c r="B71" t="s">
        <v>593</v>
      </c>
      <c r="I71" s="1">
        <v>-2093.654</v>
      </c>
      <c r="L71" s="14" t="s">
        <v>584</v>
      </c>
    </row>
    <row r="72" spans="1:12" x14ac:dyDescent="0.55000000000000004">
      <c r="B72" t="s">
        <v>594</v>
      </c>
      <c r="I72" s="1">
        <v>172046</v>
      </c>
      <c r="L72" s="14" t="s">
        <v>584</v>
      </c>
    </row>
    <row r="73" spans="1:12" x14ac:dyDescent="0.55000000000000004">
      <c r="L73" s="14" t="s">
        <v>584</v>
      </c>
    </row>
    <row r="74" spans="1:12" x14ac:dyDescent="0.55000000000000004">
      <c r="B74" t="s">
        <v>595</v>
      </c>
      <c r="I74" s="3">
        <f>+SUM(I44:I72)</f>
        <v>3601733.0657329499</v>
      </c>
      <c r="L74" s="14" t="s">
        <v>584</v>
      </c>
    </row>
    <row r="76" spans="1:12" s="14" customFormat="1" x14ac:dyDescent="0.55000000000000004">
      <c r="A76" s="14" t="s">
        <v>239</v>
      </c>
    </row>
    <row r="78" spans="1:12" x14ac:dyDescent="0.55000000000000004">
      <c r="B78" t="s">
        <v>240</v>
      </c>
      <c r="L78" s="14" t="s">
        <v>596</v>
      </c>
    </row>
    <row r="80" spans="1:12" ht="28.3" x14ac:dyDescent="0.55000000000000004">
      <c r="B80" s="47" t="s">
        <v>383</v>
      </c>
      <c r="C80" s="47"/>
      <c r="D80" s="47" t="s">
        <v>384</v>
      </c>
      <c r="E80" s="47" t="s">
        <v>385</v>
      </c>
      <c r="F80" s="47" t="s">
        <v>386</v>
      </c>
      <c r="G80" s="47" t="s">
        <v>387</v>
      </c>
      <c r="H80" s="47" t="s">
        <v>37</v>
      </c>
      <c r="I80" s="47" t="s">
        <v>388</v>
      </c>
      <c r="J80" s="47" t="s">
        <v>389</v>
      </c>
    </row>
    <row r="81" spans="2:12" x14ac:dyDescent="0.55000000000000004">
      <c r="B81" t="s">
        <v>382</v>
      </c>
      <c r="D81" s="1">
        <v>47.94</v>
      </c>
      <c r="E81" s="1">
        <v>63.05</v>
      </c>
      <c r="F81" s="1">
        <v>69.05</v>
      </c>
      <c r="G81" s="1">
        <v>43.31</v>
      </c>
      <c r="H81" s="1">
        <v>594</v>
      </c>
      <c r="I81" s="1">
        <v>1214</v>
      </c>
      <c r="J81" s="9">
        <f>+I81*H81</f>
        <v>721116</v>
      </c>
      <c r="L81" s="14" t="s">
        <v>596</v>
      </c>
    </row>
    <row r="82" spans="2:12" x14ac:dyDescent="0.55000000000000004">
      <c r="D82" s="1">
        <v>65.099999999999994</v>
      </c>
      <c r="E82" s="1">
        <v>83.57</v>
      </c>
      <c r="F82" s="1">
        <v>91.43</v>
      </c>
      <c r="G82" s="1">
        <v>58.81</v>
      </c>
      <c r="H82" s="1">
        <v>240</v>
      </c>
      <c r="I82" s="1">
        <v>1555</v>
      </c>
      <c r="J82" s="9">
        <f t="shared" ref="J82:J85" si="4">+I82*H82</f>
        <v>373200</v>
      </c>
      <c r="L82" s="14" t="s">
        <v>596</v>
      </c>
    </row>
    <row r="83" spans="2:12" x14ac:dyDescent="0.55000000000000004">
      <c r="D83" s="1">
        <v>95.03</v>
      </c>
      <c r="E83" s="1">
        <v>120.33</v>
      </c>
      <c r="F83" s="1">
        <v>128.94</v>
      </c>
      <c r="G83" s="1">
        <v>85.85</v>
      </c>
      <c r="H83" s="1">
        <v>288</v>
      </c>
      <c r="I83" s="1">
        <v>1931</v>
      </c>
      <c r="J83" s="9">
        <f t="shared" si="4"/>
        <v>556128</v>
      </c>
      <c r="L83" s="14" t="s">
        <v>597</v>
      </c>
    </row>
    <row r="84" spans="2:12" x14ac:dyDescent="0.55000000000000004">
      <c r="D84" s="1">
        <v>115.19</v>
      </c>
      <c r="E84" s="1">
        <v>131.94999999999999</v>
      </c>
      <c r="F84" s="1">
        <v>150.43</v>
      </c>
      <c r="G84" s="1">
        <v>106.06</v>
      </c>
      <c r="H84" s="1">
        <v>144</v>
      </c>
      <c r="I84" s="1">
        <v>2350</v>
      </c>
      <c r="J84" s="9">
        <f t="shared" si="4"/>
        <v>338400</v>
      </c>
      <c r="L84" s="14" t="s">
        <v>597</v>
      </c>
    </row>
    <row r="85" spans="2:12" x14ac:dyDescent="0.55000000000000004">
      <c r="D85" s="1">
        <v>142.38999999999999</v>
      </c>
      <c r="E85" s="1">
        <v>166.34</v>
      </c>
      <c r="F85" s="1">
        <v>179.93</v>
      </c>
      <c r="G85" s="1">
        <v>128.63</v>
      </c>
      <c r="H85" s="1">
        <v>96</v>
      </c>
      <c r="I85" s="1">
        <v>2548</v>
      </c>
      <c r="J85" s="9">
        <f t="shared" si="4"/>
        <v>244608</v>
      </c>
      <c r="L85" s="14" t="s">
        <v>597</v>
      </c>
    </row>
    <row r="86" spans="2:12" x14ac:dyDescent="0.55000000000000004">
      <c r="H86">
        <f>+SUM(H81:H85)</f>
        <v>1362</v>
      </c>
      <c r="J86" s="9">
        <f>+SUM(J81:J85)</f>
        <v>2233452</v>
      </c>
    </row>
    <row r="88" spans="2:12" x14ac:dyDescent="0.55000000000000004">
      <c r="B88" t="s">
        <v>598</v>
      </c>
      <c r="C88" t="s">
        <v>599</v>
      </c>
      <c r="D88" s="1">
        <v>561.96</v>
      </c>
      <c r="F88" s="1">
        <v>905.39</v>
      </c>
      <c r="G88" s="1">
        <v>598.23</v>
      </c>
      <c r="H88" s="1">
        <v>16</v>
      </c>
      <c r="J88" s="9">
        <v>9939</v>
      </c>
      <c r="L88" s="14" t="s">
        <v>597</v>
      </c>
    </row>
    <row r="89" spans="2:12" x14ac:dyDescent="0.55000000000000004">
      <c r="C89" t="s">
        <v>600</v>
      </c>
      <c r="D89" s="1">
        <v>499.36</v>
      </c>
      <c r="F89" s="1">
        <v>804.49</v>
      </c>
      <c r="G89" s="1">
        <v>531.55999999999995</v>
      </c>
      <c r="H89" s="1">
        <v>23</v>
      </c>
      <c r="J89" s="9">
        <v>18171</v>
      </c>
      <c r="L89" s="14" t="s">
        <v>597</v>
      </c>
    </row>
    <row r="90" spans="2:12" x14ac:dyDescent="0.55000000000000004">
      <c r="C90" t="s">
        <v>601</v>
      </c>
      <c r="D90" s="1">
        <v>231.36</v>
      </c>
      <c r="F90" s="1">
        <v>318.77</v>
      </c>
      <c r="G90" s="1">
        <v>210.62</v>
      </c>
      <c r="H90" s="1">
        <v>1</v>
      </c>
      <c r="J90" s="9">
        <v>3152</v>
      </c>
      <c r="L90" s="14" t="s">
        <v>597</v>
      </c>
    </row>
    <row r="91" spans="2:12" x14ac:dyDescent="0.55000000000000004">
      <c r="C91" t="s">
        <v>602</v>
      </c>
      <c r="D91" s="1">
        <v>595.67999999999995</v>
      </c>
      <c r="F91" s="1">
        <v>820.03</v>
      </c>
      <c r="G91" s="1">
        <v>541.83000000000004</v>
      </c>
      <c r="H91" s="1">
        <v>6</v>
      </c>
      <c r="J91" s="9">
        <v>16901</v>
      </c>
      <c r="L91" s="14" t="s">
        <v>597</v>
      </c>
    </row>
    <row r="92" spans="2:12" x14ac:dyDescent="0.55000000000000004">
      <c r="C92" t="s">
        <v>603</v>
      </c>
      <c r="D92" s="1">
        <v>287.36</v>
      </c>
      <c r="F92" s="1">
        <v>304.12</v>
      </c>
      <c r="G92" s="1">
        <v>387.28</v>
      </c>
      <c r="H92" s="1">
        <v>1</v>
      </c>
      <c r="J92" s="9">
        <v>3354</v>
      </c>
      <c r="L92" s="14" t="s">
        <v>597</v>
      </c>
    </row>
    <row r="93" spans="2:12" x14ac:dyDescent="0.55000000000000004">
      <c r="C93" t="s">
        <v>604</v>
      </c>
      <c r="D93" s="1">
        <v>346</v>
      </c>
      <c r="F93" s="1">
        <v>366.18</v>
      </c>
      <c r="G93" s="1">
        <v>466.42</v>
      </c>
      <c r="H93" s="1">
        <v>1</v>
      </c>
      <c r="J93" s="9">
        <v>8974</v>
      </c>
      <c r="L93" s="14" t="s">
        <v>597</v>
      </c>
    </row>
    <row r="94" spans="2:12" x14ac:dyDescent="0.55000000000000004">
      <c r="D94">
        <f>+SUM(D88:D93)</f>
        <v>2521.7200000000003</v>
      </c>
      <c r="F94">
        <f>+SUM(F88:F93)</f>
        <v>3518.98</v>
      </c>
      <c r="G94">
        <f>+SUM(G88:G93)</f>
        <v>2735.9399999999996</v>
      </c>
      <c r="H94">
        <f>+SUM(H88:H93)</f>
        <v>48</v>
      </c>
      <c r="J94" s="9">
        <f>+SUM(J88:J93)</f>
        <v>60491</v>
      </c>
    </row>
    <row r="96" spans="2:12" x14ac:dyDescent="0.55000000000000004">
      <c r="J96" s="23">
        <f>+J94+J86</f>
        <v>2293943</v>
      </c>
    </row>
    <row r="98" spans="1:8" x14ac:dyDescent="0.55000000000000004">
      <c r="B98" t="s">
        <v>247</v>
      </c>
    </row>
    <row r="99" spans="1:8" x14ac:dyDescent="0.55000000000000004">
      <c r="D99" t="s">
        <v>248</v>
      </c>
      <c r="E99" t="s">
        <v>154</v>
      </c>
      <c r="F99" t="s">
        <v>155</v>
      </c>
      <c r="G99" t="s">
        <v>247</v>
      </c>
    </row>
    <row r="100" spans="1:8" x14ac:dyDescent="0.55000000000000004">
      <c r="D100" s="100">
        <f>+E19</f>
        <v>421851.5</v>
      </c>
      <c r="E100" s="3">
        <v>939526.54799999995</v>
      </c>
      <c r="F100" s="3">
        <v>346947.97399999999</v>
      </c>
      <c r="G100" s="3">
        <f>+E100+F100</f>
        <v>1286474.5219999999</v>
      </c>
    </row>
    <row r="101" spans="1:8" x14ac:dyDescent="0.55000000000000004">
      <c r="E101" t="s">
        <v>250</v>
      </c>
      <c r="F101" s="11">
        <f>+F100/E100</f>
        <v>0.36927958527468879</v>
      </c>
      <c r="H101" t="s">
        <v>605</v>
      </c>
    </row>
    <row r="102" spans="1:8" x14ac:dyDescent="0.55000000000000004">
      <c r="E102">
        <f>+E100/(D100*0.3025)</f>
        <v>7.3624791803523584</v>
      </c>
      <c r="F102" t="s">
        <v>606</v>
      </c>
    </row>
    <row r="104" spans="1:8" x14ac:dyDescent="0.55000000000000004">
      <c r="B104" t="s">
        <v>159</v>
      </c>
    </row>
    <row r="105" spans="1:8" x14ac:dyDescent="0.55000000000000004">
      <c r="C105" t="s">
        <v>251</v>
      </c>
      <c r="D105" t="s">
        <v>247</v>
      </c>
      <c r="E105" t="s">
        <v>34</v>
      </c>
      <c r="F105" t="s">
        <v>159</v>
      </c>
    </row>
    <row r="106" spans="1:8" x14ac:dyDescent="0.55000000000000004">
      <c r="C106" s="30">
        <f>+I74</f>
        <v>3601733.0657329499</v>
      </c>
      <c r="D106" s="4">
        <f>+G100</f>
        <v>1286474.5219999999</v>
      </c>
      <c r="E106" s="57">
        <f>+J96</f>
        <v>2293943</v>
      </c>
      <c r="F106" s="13">
        <f>+(C106-D106)/E106</f>
        <v>1.0092920982487141</v>
      </c>
    </row>
    <row r="107" spans="1:8" x14ac:dyDescent="0.55000000000000004">
      <c r="E107" s="1"/>
      <c r="F107" s="1"/>
      <c r="G107" s="99"/>
      <c r="H107" s="1"/>
    </row>
    <row r="108" spans="1:8" s="14" customFormat="1" x14ac:dyDescent="0.55000000000000004">
      <c r="A108" s="14" t="s">
        <v>254</v>
      </c>
      <c r="G108" s="101"/>
      <c r="H108" s="8"/>
    </row>
    <row r="109" spans="1:8" x14ac:dyDescent="0.55000000000000004">
      <c r="A109" s="5"/>
      <c r="G109" s="99"/>
      <c r="H109" s="1"/>
    </row>
    <row r="110" spans="1:8" x14ac:dyDescent="0.55000000000000004">
      <c r="A110" s="5"/>
      <c r="B110" t="s">
        <v>255</v>
      </c>
      <c r="E110" t="s">
        <v>256</v>
      </c>
      <c r="F110" t="s">
        <v>241</v>
      </c>
      <c r="G110" s="99"/>
      <c r="H110" s="1"/>
    </row>
    <row r="111" spans="1:8" x14ac:dyDescent="0.55000000000000004">
      <c r="A111" s="5"/>
      <c r="C111" t="s">
        <v>259</v>
      </c>
      <c r="E111" s="55">
        <f>+R59</f>
        <v>50.001970321174703</v>
      </c>
      <c r="F111" t="s">
        <v>258</v>
      </c>
      <c r="G111" s="99"/>
      <c r="H111" s="1"/>
    </row>
    <row r="112" spans="1:8" x14ac:dyDescent="0.55000000000000004">
      <c r="A112" s="5"/>
      <c r="C112" t="s">
        <v>257</v>
      </c>
      <c r="E112" s="55">
        <f>+R51</f>
        <v>45.031915438888987</v>
      </c>
      <c r="F112" t="s">
        <v>258</v>
      </c>
      <c r="G112" s="99"/>
      <c r="H112" s="1"/>
    </row>
    <row r="113" spans="1:11" x14ac:dyDescent="0.55000000000000004">
      <c r="A113" s="5"/>
      <c r="C113" t="s">
        <v>154</v>
      </c>
      <c r="E113" s="58">
        <v>7.36</v>
      </c>
      <c r="F113" t="s">
        <v>260</v>
      </c>
      <c r="G113" s="99"/>
      <c r="H113" s="1"/>
    </row>
    <row r="114" spans="1:11" x14ac:dyDescent="0.55000000000000004">
      <c r="A114" s="5"/>
    </row>
    <row r="115" spans="1:11" s="14" customFormat="1" x14ac:dyDescent="0.55000000000000004">
      <c r="A115" s="14" t="s">
        <v>261</v>
      </c>
      <c r="E115" s="8"/>
      <c r="F115" s="8"/>
      <c r="G115" s="101"/>
      <c r="H115" s="8"/>
    </row>
    <row r="116" spans="1:11" x14ac:dyDescent="0.55000000000000004">
      <c r="A116" s="5"/>
      <c r="E116" s="1"/>
      <c r="F116" s="1"/>
      <c r="G116" s="99"/>
      <c r="H116" s="1"/>
    </row>
    <row r="117" spans="1:11" x14ac:dyDescent="0.55000000000000004">
      <c r="A117" s="5"/>
      <c r="B117" t="s">
        <v>251</v>
      </c>
    </row>
    <row r="118" spans="1:11" x14ac:dyDescent="0.55000000000000004">
      <c r="A118" s="5"/>
    </row>
    <row r="119" spans="1:11" x14ac:dyDescent="0.55000000000000004">
      <c r="A119" s="5"/>
      <c r="C119" t="s">
        <v>230</v>
      </c>
      <c r="D119" t="s">
        <v>210</v>
      </c>
      <c r="E119" t="s">
        <v>195</v>
      </c>
      <c r="F119" t="s">
        <v>38</v>
      </c>
      <c r="G119" t="s">
        <v>348</v>
      </c>
      <c r="H119" t="s">
        <v>232</v>
      </c>
      <c r="I119" t="s">
        <v>233</v>
      </c>
      <c r="J119" t="s">
        <v>349</v>
      </c>
      <c r="K119" t="s">
        <v>350</v>
      </c>
    </row>
    <row r="120" spans="1:11" x14ac:dyDescent="0.55000000000000004">
      <c r="A120" s="5"/>
      <c r="B120" t="s">
        <v>196</v>
      </c>
      <c r="E120" s="1">
        <v>80.150000000000006</v>
      </c>
      <c r="F120" s="1">
        <v>194</v>
      </c>
      <c r="G120" s="99">
        <f>+E112</f>
        <v>45.031915438888987</v>
      </c>
      <c r="H120" s="22">
        <f>+G120*E120*0.3025</f>
        <v>1091.8156767841531</v>
      </c>
      <c r="I120" s="22">
        <f>+H120*F120</f>
        <v>211812.24129612569</v>
      </c>
    </row>
    <row r="121" spans="1:11" x14ac:dyDescent="0.55000000000000004">
      <c r="A121" s="5"/>
      <c r="C121" s="14"/>
      <c r="D121" s="14"/>
      <c r="E121" s="8">
        <v>112.45</v>
      </c>
      <c r="F121" s="8">
        <v>562</v>
      </c>
      <c r="G121" s="101">
        <f>+G120</f>
        <v>45.031915438888987</v>
      </c>
      <c r="H121" s="102">
        <f t="shared" ref="H121:H134" si="5">+G121*E121*0.3025</f>
        <v>1531.8112645586777</v>
      </c>
      <c r="I121" s="102">
        <f t="shared" ref="I121:I126" si="6">+H121*F121</f>
        <v>860877.93068197684</v>
      </c>
    </row>
    <row r="122" spans="1:11" x14ac:dyDescent="0.55000000000000004">
      <c r="A122" s="5"/>
      <c r="E122" s="1">
        <v>131.44999999999999</v>
      </c>
      <c r="F122" s="1">
        <v>230</v>
      </c>
      <c r="G122" s="99">
        <f t="shared" ref="G122:G126" si="7">+G121</f>
        <v>45.031915438888987</v>
      </c>
      <c r="H122" s="22">
        <f t="shared" si="5"/>
        <v>1790.6321985436919</v>
      </c>
      <c r="I122" s="22">
        <f t="shared" si="6"/>
        <v>411845.40566504915</v>
      </c>
    </row>
    <row r="123" spans="1:11" x14ac:dyDescent="0.55000000000000004">
      <c r="A123" s="5"/>
      <c r="E123" s="1">
        <v>155</v>
      </c>
      <c r="F123" s="1">
        <v>232</v>
      </c>
      <c r="G123" s="99">
        <f t="shared" si="7"/>
        <v>45.031915438888987</v>
      </c>
      <c r="H123" s="22">
        <f t="shared" si="5"/>
        <v>2111.4339351409071</v>
      </c>
      <c r="I123" s="22">
        <f t="shared" si="6"/>
        <v>489852.67295269045</v>
      </c>
    </row>
    <row r="124" spans="1:11" x14ac:dyDescent="0.55000000000000004">
      <c r="A124" s="5"/>
      <c r="E124" s="1">
        <v>173</v>
      </c>
      <c r="F124" s="1">
        <v>100</v>
      </c>
      <c r="G124" s="99">
        <f t="shared" si="7"/>
        <v>45.031915438888987</v>
      </c>
      <c r="H124" s="22">
        <f t="shared" si="5"/>
        <v>2356.6327147056581</v>
      </c>
      <c r="I124" s="22">
        <f t="shared" si="6"/>
        <v>235663.27147056581</v>
      </c>
    </row>
    <row r="125" spans="1:11" x14ac:dyDescent="0.55000000000000004">
      <c r="A125" s="5"/>
      <c r="E125" s="1">
        <v>187.5</v>
      </c>
      <c r="F125" s="1">
        <v>37</v>
      </c>
      <c r="G125" s="99">
        <f t="shared" si="7"/>
        <v>45.031915438888987</v>
      </c>
      <c r="H125" s="22">
        <f t="shared" si="5"/>
        <v>2554.1539537994845</v>
      </c>
      <c r="I125" s="22">
        <f t="shared" si="6"/>
        <v>94503.69629058092</v>
      </c>
    </row>
    <row r="126" spans="1:11" x14ac:dyDescent="0.55000000000000004">
      <c r="A126" s="5"/>
      <c r="E126" s="1">
        <v>209</v>
      </c>
      <c r="F126" s="1">
        <v>6</v>
      </c>
      <c r="G126" s="99">
        <f t="shared" si="7"/>
        <v>45.031915438888987</v>
      </c>
      <c r="H126" s="22">
        <f t="shared" si="5"/>
        <v>2847.0302738351593</v>
      </c>
      <c r="I126" s="22">
        <f t="shared" si="6"/>
        <v>17082.181643010954</v>
      </c>
    </row>
    <row r="127" spans="1:11" x14ac:dyDescent="0.55000000000000004">
      <c r="A127" s="5"/>
    </row>
    <row r="128" spans="1:11" x14ac:dyDescent="0.55000000000000004">
      <c r="A128" s="5"/>
      <c r="B128" t="s">
        <v>198</v>
      </c>
      <c r="E128" s="1">
        <v>80.150000000000006</v>
      </c>
      <c r="F128" s="1">
        <v>77</v>
      </c>
      <c r="G128" s="99">
        <f>+E111</f>
        <v>50.001970321174703</v>
      </c>
      <c r="H128" s="22">
        <f t="shared" si="5"/>
        <v>1212.3165211757512</v>
      </c>
      <c r="I128">
        <f t="shared" ref="I128:I134" si="8">+H128*F128</f>
        <v>93348.372130532836</v>
      </c>
    </row>
    <row r="129" spans="1:9" x14ac:dyDescent="0.55000000000000004">
      <c r="A129" s="5"/>
      <c r="E129" s="1">
        <v>112.45</v>
      </c>
      <c r="F129" s="1">
        <v>221</v>
      </c>
      <c r="G129" s="99">
        <f>+G128</f>
        <v>50.001970321174703</v>
      </c>
      <c r="H129" s="22">
        <f t="shared" si="5"/>
        <v>1700.8732726913688</v>
      </c>
      <c r="I129">
        <f t="shared" si="8"/>
        <v>375892.99326479249</v>
      </c>
    </row>
    <row r="130" spans="1:9" x14ac:dyDescent="0.55000000000000004">
      <c r="A130" s="5"/>
      <c r="E130" s="1">
        <v>131.44999999999999</v>
      </c>
      <c r="F130" s="1">
        <v>91</v>
      </c>
      <c r="G130" s="99">
        <f t="shared" ref="G130:G134" si="9">+G129</f>
        <v>50.001970321174703</v>
      </c>
      <c r="H130" s="22">
        <f t="shared" si="5"/>
        <v>1988.2595971123201</v>
      </c>
      <c r="I130">
        <f t="shared" si="8"/>
        <v>180931.62333722113</v>
      </c>
    </row>
    <row r="131" spans="1:9" x14ac:dyDescent="0.55000000000000004">
      <c r="A131" s="5"/>
      <c r="E131" s="1">
        <v>155</v>
      </c>
      <c r="F131" s="1">
        <v>92</v>
      </c>
      <c r="G131" s="99">
        <f t="shared" si="9"/>
        <v>50.001970321174703</v>
      </c>
      <c r="H131" s="22">
        <f t="shared" si="5"/>
        <v>2344.4673834340788</v>
      </c>
      <c r="I131">
        <f t="shared" si="8"/>
        <v>215690.99927593526</v>
      </c>
    </row>
    <row r="132" spans="1:9" x14ac:dyDescent="0.55000000000000004">
      <c r="A132" s="5"/>
      <c r="E132" s="1">
        <v>173</v>
      </c>
      <c r="F132" s="1">
        <v>40</v>
      </c>
      <c r="G132" s="99">
        <f t="shared" si="9"/>
        <v>50.001970321174703</v>
      </c>
      <c r="H132" s="22">
        <f t="shared" si="5"/>
        <v>2616.7281118328747</v>
      </c>
      <c r="I132">
        <f t="shared" si="8"/>
        <v>104669.12447331499</v>
      </c>
    </row>
    <row r="133" spans="1:9" x14ac:dyDescent="0.55000000000000004">
      <c r="A133" s="5"/>
      <c r="E133" s="1">
        <v>187.5</v>
      </c>
      <c r="F133" s="1">
        <v>15</v>
      </c>
      <c r="G133" s="99">
        <f t="shared" si="9"/>
        <v>50.001970321174703</v>
      </c>
      <c r="H133" s="22">
        <f t="shared" si="5"/>
        <v>2836.0492541541275</v>
      </c>
      <c r="I133">
        <f t="shared" si="8"/>
        <v>42540.738812311916</v>
      </c>
    </row>
    <row r="134" spans="1:9" x14ac:dyDescent="0.55000000000000004">
      <c r="A134" s="5"/>
      <c r="E134" s="1">
        <v>209</v>
      </c>
      <c r="F134" s="1">
        <v>3</v>
      </c>
      <c r="G134" s="99">
        <f t="shared" si="9"/>
        <v>50.001970321174703</v>
      </c>
      <c r="H134" s="22">
        <f t="shared" si="5"/>
        <v>3161.2495686304674</v>
      </c>
      <c r="I134">
        <f t="shared" si="8"/>
        <v>9483.7487058914012</v>
      </c>
    </row>
    <row r="135" spans="1:9" x14ac:dyDescent="0.55000000000000004">
      <c r="A135" s="5"/>
    </row>
    <row r="136" spans="1:9" x14ac:dyDescent="0.55000000000000004">
      <c r="A136" s="5"/>
      <c r="B136" t="s">
        <v>586</v>
      </c>
      <c r="E136" s="1">
        <v>80.150000000000006</v>
      </c>
      <c r="F136" s="1">
        <v>212</v>
      </c>
    </row>
    <row r="137" spans="1:9" x14ac:dyDescent="0.55000000000000004">
      <c r="A137" s="5"/>
      <c r="E137" s="1">
        <v>112.45</v>
      </c>
      <c r="F137" s="1">
        <v>61</v>
      </c>
    </row>
    <row r="138" spans="1:9" x14ac:dyDescent="0.55000000000000004">
      <c r="A138" s="5"/>
      <c r="G138">
        <f>+I138/(E136*0.3025*F136+E137*0.3025*F137)</f>
        <v>5.282880594732938</v>
      </c>
      <c r="I138" s="1">
        <v>38116</v>
      </c>
    </row>
    <row r="139" spans="1:9" x14ac:dyDescent="0.55000000000000004">
      <c r="A139" s="5"/>
    </row>
    <row r="140" spans="1:9" x14ac:dyDescent="0.55000000000000004">
      <c r="A140" s="5"/>
      <c r="B140" t="s">
        <v>587</v>
      </c>
    </row>
    <row r="141" spans="1:9" x14ac:dyDescent="0.55000000000000004">
      <c r="A141" s="5"/>
      <c r="B141" t="s">
        <v>588</v>
      </c>
      <c r="E141" s="1">
        <v>2147.23</v>
      </c>
      <c r="F141" s="1"/>
      <c r="G141" s="1">
        <v>20.161000000000001</v>
      </c>
      <c r="I141">
        <f>+G141*E141*0.3025</f>
        <v>13095.316969075002</v>
      </c>
    </row>
    <row r="142" spans="1:9" x14ac:dyDescent="0.55000000000000004">
      <c r="A142" s="5"/>
      <c r="B142" t="s">
        <v>589</v>
      </c>
      <c r="E142" s="1">
        <v>2147.23</v>
      </c>
      <c r="F142" s="1"/>
      <c r="G142" s="1">
        <v>44.8</v>
      </c>
      <c r="I142">
        <f>+G142*E142*0.3025</f>
        <v>29099.260959999996</v>
      </c>
    </row>
    <row r="143" spans="1:9" x14ac:dyDescent="0.55000000000000004">
      <c r="A143" s="5"/>
      <c r="B143" t="s">
        <v>590</v>
      </c>
      <c r="E143" s="1">
        <v>252.62</v>
      </c>
      <c r="F143" s="1"/>
      <c r="G143" s="1">
        <v>38.081000000000003</v>
      </c>
      <c r="I143">
        <f>+G143*E143*0.3025</f>
        <v>2910.05672155</v>
      </c>
    </row>
    <row r="144" spans="1:9" x14ac:dyDescent="0.55000000000000004">
      <c r="A144" s="5"/>
      <c r="B144" t="s">
        <v>591</v>
      </c>
      <c r="E144" s="1">
        <v>252.62</v>
      </c>
      <c r="F144" s="1"/>
      <c r="G144" s="1">
        <v>38.081000000000003</v>
      </c>
      <c r="I144">
        <f>+G144*E144*0.3025</f>
        <v>2910.05672155</v>
      </c>
    </row>
    <row r="145" spans="1:9" x14ac:dyDescent="0.55000000000000004">
      <c r="A145" s="5"/>
      <c r="B145" t="s">
        <v>592</v>
      </c>
      <c r="E145" s="1">
        <v>126.31</v>
      </c>
      <c r="F145" s="1"/>
      <c r="G145" s="1">
        <v>38.081000000000003</v>
      </c>
      <c r="I145">
        <f>+G145*E145*0.3025</f>
        <v>1455.028360775</v>
      </c>
    </row>
    <row r="146" spans="1:9" x14ac:dyDescent="0.55000000000000004">
      <c r="A146" s="5"/>
    </row>
    <row r="147" spans="1:9" x14ac:dyDescent="0.55000000000000004">
      <c r="A147" s="5"/>
      <c r="B147" t="s">
        <v>593</v>
      </c>
      <c r="I147" s="1">
        <v>-2093.654</v>
      </c>
    </row>
    <row r="148" spans="1:9" x14ac:dyDescent="0.55000000000000004">
      <c r="A148" s="5"/>
      <c r="B148" t="s">
        <v>594</v>
      </c>
      <c r="I148" s="1">
        <v>172046</v>
      </c>
    </row>
    <row r="149" spans="1:9" x14ac:dyDescent="0.55000000000000004">
      <c r="A149" s="5"/>
    </row>
    <row r="150" spans="1:9" x14ac:dyDescent="0.55000000000000004">
      <c r="A150" s="5"/>
      <c r="B150" t="s">
        <v>595</v>
      </c>
      <c r="I150" s="3">
        <f>+SUM(I120:I148)</f>
        <v>3601733.0657329503</v>
      </c>
    </row>
    <row r="151" spans="1:9" x14ac:dyDescent="0.55000000000000004">
      <c r="A151" s="5"/>
    </row>
    <row r="152" spans="1:9" x14ac:dyDescent="0.55000000000000004">
      <c r="A152" s="5"/>
    </row>
    <row r="153" spans="1:9" x14ac:dyDescent="0.55000000000000004">
      <c r="A153" s="5"/>
      <c r="B153" t="s">
        <v>247</v>
      </c>
    </row>
    <row r="154" spans="1:9" x14ac:dyDescent="0.55000000000000004">
      <c r="A154" s="5"/>
      <c r="C154" t="s">
        <v>154</v>
      </c>
      <c r="D154" t="s">
        <v>248</v>
      </c>
      <c r="E154" t="s">
        <v>154</v>
      </c>
      <c r="F154" t="s">
        <v>155</v>
      </c>
      <c r="G154" t="s">
        <v>247</v>
      </c>
    </row>
    <row r="155" spans="1:9" x14ac:dyDescent="0.55000000000000004">
      <c r="A155" s="5"/>
      <c r="C155" s="58">
        <v>7.36</v>
      </c>
      <c r="D155" s="100">
        <f>+D100</f>
        <v>421851.5</v>
      </c>
      <c r="E155" s="3">
        <f>+C155*D155*0.3025</f>
        <v>939210.17960000003</v>
      </c>
      <c r="F155" s="3">
        <f>+E155*F101</f>
        <v>346831.14560845401</v>
      </c>
      <c r="G155" s="3">
        <f>+E155+F155</f>
        <v>1286041.3252084539</v>
      </c>
    </row>
    <row r="156" spans="1:9" x14ac:dyDescent="0.55000000000000004">
      <c r="A156" s="5"/>
    </row>
    <row r="157" spans="1:9" x14ac:dyDescent="0.55000000000000004">
      <c r="A157" s="5"/>
      <c r="B157" t="s">
        <v>159</v>
      </c>
    </row>
    <row r="158" spans="1:9" x14ac:dyDescent="0.55000000000000004">
      <c r="A158" s="5"/>
      <c r="C158" t="s">
        <v>251</v>
      </c>
      <c r="D158" t="s">
        <v>247</v>
      </c>
      <c r="E158" t="s">
        <v>34</v>
      </c>
      <c r="F158" t="s">
        <v>159</v>
      </c>
    </row>
    <row r="159" spans="1:9" x14ac:dyDescent="0.55000000000000004">
      <c r="A159" s="5"/>
      <c r="C159" s="30">
        <f>+I150</f>
        <v>3601733.0657329503</v>
      </c>
      <c r="D159" s="4">
        <f>+G155</f>
        <v>1286041.3252084539</v>
      </c>
      <c r="E159" s="57">
        <f>+J96</f>
        <v>2293943</v>
      </c>
      <c r="F159" s="13">
        <f>+(C159-D159)/E159</f>
        <v>1.0094809419957238</v>
      </c>
    </row>
    <row r="160" spans="1:9" x14ac:dyDescent="0.55000000000000004">
      <c r="A160" s="5"/>
    </row>
    <row r="161" spans="1:30" s="14" customFormat="1" x14ac:dyDescent="0.55000000000000004"/>
    <row r="165" spans="1:30" x14ac:dyDescent="0.55000000000000004">
      <c r="Z165" s="1" t="s">
        <v>264</v>
      </c>
    </row>
    <row r="166" spans="1:30" x14ac:dyDescent="0.55000000000000004">
      <c r="Z166" t="s">
        <v>266</v>
      </c>
    </row>
    <row r="167" spans="1:30" x14ac:dyDescent="0.55000000000000004">
      <c r="O167" s="1" t="s">
        <v>264</v>
      </c>
      <c r="T167" t="s">
        <v>412</v>
      </c>
      <c r="Z167" t="s">
        <v>268</v>
      </c>
      <c r="AA167" t="s">
        <v>607</v>
      </c>
    </row>
    <row r="168" spans="1:30" x14ac:dyDescent="0.55000000000000004">
      <c r="T168" t="s">
        <v>268</v>
      </c>
    </row>
    <row r="169" spans="1:30" x14ac:dyDescent="0.55000000000000004">
      <c r="B169" t="s">
        <v>240</v>
      </c>
      <c r="O169" s="47" t="s">
        <v>413</v>
      </c>
      <c r="T169" s="31">
        <v>46118</v>
      </c>
    </row>
    <row r="170" spans="1:30" ht="28.3" x14ac:dyDescent="0.55000000000000004">
      <c r="B170" s="47" t="s">
        <v>383</v>
      </c>
      <c r="C170" s="47"/>
      <c r="D170" s="47" t="s">
        <v>384</v>
      </c>
      <c r="E170" s="47" t="s">
        <v>385</v>
      </c>
      <c r="F170" s="47" t="s">
        <v>386</v>
      </c>
      <c r="G170" s="47" t="s">
        <v>387</v>
      </c>
      <c r="H170" s="47" t="s">
        <v>37</v>
      </c>
      <c r="I170" s="47" t="s">
        <v>388</v>
      </c>
      <c r="J170" s="47" t="s">
        <v>389</v>
      </c>
      <c r="M170" s="47" t="s">
        <v>414</v>
      </c>
      <c r="O170">
        <f>+E121</f>
        <v>112.45</v>
      </c>
      <c r="Q170" t="s">
        <v>267</v>
      </c>
      <c r="S170" t="s">
        <v>271</v>
      </c>
      <c r="T170" t="s">
        <v>268</v>
      </c>
      <c r="V170" t="s">
        <v>272</v>
      </c>
      <c r="X170" t="s">
        <v>273</v>
      </c>
      <c r="Y170" t="s">
        <v>274</v>
      </c>
      <c r="Z170" t="s">
        <v>275</v>
      </c>
      <c r="AA170" t="s">
        <v>276</v>
      </c>
      <c r="AB170" t="s">
        <v>250</v>
      </c>
      <c r="AC170" t="s">
        <v>277</v>
      </c>
      <c r="AD170" t="s">
        <v>278</v>
      </c>
    </row>
    <row r="171" spans="1:30" x14ac:dyDescent="0.55000000000000004">
      <c r="A171">
        <v>1</v>
      </c>
      <c r="B171" t="s">
        <v>382</v>
      </c>
      <c r="D171" s="8">
        <v>47.94</v>
      </c>
      <c r="E171" s="1">
        <v>63.05</v>
      </c>
      <c r="F171" s="1">
        <v>69.05</v>
      </c>
      <c r="G171" s="1">
        <v>43.31</v>
      </c>
      <c r="H171" s="1">
        <v>594</v>
      </c>
      <c r="I171" s="8">
        <v>1214</v>
      </c>
      <c r="J171" s="9">
        <f>+I171*H171</f>
        <v>721116</v>
      </c>
      <c r="M171">
        <f>+I171*$F$159</f>
        <v>1225.5098635828087</v>
      </c>
      <c r="O171">
        <f>+H121</f>
        <v>1531.8112645586777</v>
      </c>
      <c r="Q171">
        <f>+$O$171-M171</f>
        <v>306.301400975869</v>
      </c>
      <c r="T171">
        <v>2125</v>
      </c>
      <c r="V171">
        <f>+T171+Q171</f>
        <v>2431.301400975869</v>
      </c>
      <c r="X171">
        <f>+$AD$171-V171</f>
        <v>437.51935374111235</v>
      </c>
      <c r="Y171" s="12">
        <f>+X171/V171</f>
        <v>0.17995274200290512</v>
      </c>
      <c r="Z171">
        <v>2425</v>
      </c>
      <c r="AA171">
        <v>106</v>
      </c>
      <c r="AB171">
        <f>+Z171/(AA171*0.3025)</f>
        <v>75.627631373772033</v>
      </c>
      <c r="AC171" s="3">
        <f>+AB171*1.1</f>
        <v>83.190394511149236</v>
      </c>
      <c r="AD171">
        <f>+AC171*114*0.3025</f>
        <v>2868.8207547169814</v>
      </c>
    </row>
    <row r="172" spans="1:30" x14ac:dyDescent="0.55000000000000004">
      <c r="A172">
        <v>2</v>
      </c>
      <c r="D172" s="1">
        <v>65.099999999999994</v>
      </c>
      <c r="E172" s="1">
        <v>83.57</v>
      </c>
      <c r="F172" s="1">
        <v>91.43</v>
      </c>
      <c r="G172" s="1">
        <v>58.81</v>
      </c>
      <c r="H172" s="1">
        <v>240</v>
      </c>
      <c r="I172" s="8">
        <v>1555</v>
      </c>
      <c r="J172" s="9">
        <f t="shared" ref="J172:J175" si="10">+I172*H172</f>
        <v>373200</v>
      </c>
      <c r="M172">
        <f>+I172*$F$159</f>
        <v>1569.7428648033506</v>
      </c>
      <c r="Q172">
        <f t="shared" ref="Q172:Q175" si="11">+$O$171-M172</f>
        <v>-37.931600244672836</v>
      </c>
      <c r="T172">
        <v>2525</v>
      </c>
      <c r="V172">
        <f>+T172+Q172</f>
        <v>2487.0683997553269</v>
      </c>
      <c r="X172">
        <f t="shared" ref="X172:X175" si="12">+$AD$171-V172</f>
        <v>381.75235496165442</v>
      </c>
    </row>
    <row r="173" spans="1:30" x14ac:dyDescent="0.55000000000000004">
      <c r="A173">
        <v>3</v>
      </c>
      <c r="D173" s="1">
        <v>95.03</v>
      </c>
      <c r="E173" s="1">
        <v>120.33</v>
      </c>
      <c r="F173" s="1">
        <v>128.94</v>
      </c>
      <c r="G173" s="1">
        <v>85.85</v>
      </c>
      <c r="H173" s="1">
        <v>288</v>
      </c>
      <c r="I173" s="8">
        <v>1931</v>
      </c>
      <c r="J173" s="9">
        <f t="shared" si="10"/>
        <v>556128</v>
      </c>
      <c r="M173">
        <f>+I173*$F$159</f>
        <v>1949.3076989937426</v>
      </c>
      <c r="Q173">
        <f t="shared" si="11"/>
        <v>-417.49643443506488</v>
      </c>
      <c r="T173">
        <v>2950</v>
      </c>
      <c r="V173">
        <f>+T173+Q173</f>
        <v>2532.5035655649353</v>
      </c>
      <c r="X173">
        <f t="shared" si="12"/>
        <v>336.31718915204601</v>
      </c>
    </row>
    <row r="174" spans="1:30" x14ac:dyDescent="0.55000000000000004">
      <c r="A174">
        <v>4</v>
      </c>
      <c r="D174" s="1">
        <v>115.19</v>
      </c>
      <c r="E174" s="1">
        <v>131.94999999999999</v>
      </c>
      <c r="F174" s="1">
        <v>150.43</v>
      </c>
      <c r="G174" s="1">
        <v>106.06</v>
      </c>
      <c r="H174" s="1">
        <v>144</v>
      </c>
      <c r="I174" s="8">
        <v>2350</v>
      </c>
      <c r="J174" s="9">
        <f t="shared" si="10"/>
        <v>338400</v>
      </c>
      <c r="M174">
        <f>+I174*$F$159</f>
        <v>2372.2802136899509</v>
      </c>
      <c r="Q174">
        <f t="shared" si="11"/>
        <v>-840.46894913127312</v>
      </c>
      <c r="T174">
        <v>3150</v>
      </c>
      <c r="V174">
        <f>+T174+Q174</f>
        <v>2309.5310508687271</v>
      </c>
      <c r="X174">
        <f t="shared" si="12"/>
        <v>559.28970384825425</v>
      </c>
    </row>
    <row r="175" spans="1:30" x14ac:dyDescent="0.55000000000000004">
      <c r="A175">
        <v>5</v>
      </c>
      <c r="D175" s="1">
        <v>142.38999999999999</v>
      </c>
      <c r="E175" s="1">
        <v>166.34</v>
      </c>
      <c r="F175" s="1">
        <v>179.93</v>
      </c>
      <c r="G175" s="1">
        <v>128.63</v>
      </c>
      <c r="H175" s="1">
        <v>96</v>
      </c>
      <c r="I175" s="8">
        <v>2548</v>
      </c>
      <c r="J175" s="9">
        <f t="shared" si="10"/>
        <v>244608</v>
      </c>
      <c r="M175">
        <f>+I175*$F$159</f>
        <v>2572.1574402051042</v>
      </c>
      <c r="Q175">
        <f t="shared" si="11"/>
        <v>-1040.3461756464264</v>
      </c>
      <c r="T175">
        <v>3600</v>
      </c>
      <c r="V175">
        <f>+T175+Q175</f>
        <v>2559.6538243535733</v>
      </c>
      <c r="X175">
        <f t="shared" si="12"/>
        <v>309.16693036340803</v>
      </c>
    </row>
    <row r="176" spans="1:30" x14ac:dyDescent="0.55000000000000004">
      <c r="H176">
        <f>+SUM(H171:H175)</f>
        <v>1362</v>
      </c>
      <c r="J176" s="9">
        <f>+SUM(J171:J175)</f>
        <v>2233452</v>
      </c>
    </row>
    <row r="178" spans="2:10" x14ac:dyDescent="0.55000000000000004">
      <c r="B178" t="s">
        <v>598</v>
      </c>
      <c r="C178" t="s">
        <v>599</v>
      </c>
      <c r="D178" s="1">
        <v>561.96</v>
      </c>
      <c r="F178" s="1">
        <v>905.39</v>
      </c>
      <c r="G178" s="1">
        <v>598.23</v>
      </c>
      <c r="H178" s="1">
        <v>16</v>
      </c>
      <c r="J178" s="9">
        <v>9939</v>
      </c>
    </row>
    <row r="179" spans="2:10" x14ac:dyDescent="0.55000000000000004">
      <c r="C179" t="s">
        <v>600</v>
      </c>
      <c r="D179" s="1">
        <v>499.36</v>
      </c>
      <c r="F179" s="1">
        <v>804.49</v>
      </c>
      <c r="G179" s="1">
        <v>531.55999999999995</v>
      </c>
      <c r="H179" s="1">
        <v>23</v>
      </c>
      <c r="J179" s="9">
        <v>18171</v>
      </c>
    </row>
    <row r="180" spans="2:10" x14ac:dyDescent="0.55000000000000004">
      <c r="C180" t="s">
        <v>601</v>
      </c>
      <c r="D180" s="1">
        <v>231.36</v>
      </c>
      <c r="F180" s="1">
        <v>318.77</v>
      </c>
      <c r="G180" s="1">
        <v>210.62</v>
      </c>
      <c r="H180" s="1">
        <v>1</v>
      </c>
      <c r="J180" s="9">
        <v>3152</v>
      </c>
    </row>
    <row r="181" spans="2:10" x14ac:dyDescent="0.55000000000000004">
      <c r="C181" t="s">
        <v>602</v>
      </c>
      <c r="D181" s="1">
        <v>595.67999999999995</v>
      </c>
      <c r="F181" s="1">
        <v>820.03</v>
      </c>
      <c r="G181" s="1">
        <v>541.83000000000004</v>
      </c>
      <c r="H181" s="1">
        <v>6</v>
      </c>
      <c r="J181" s="9">
        <v>16901</v>
      </c>
    </row>
    <row r="182" spans="2:10" x14ac:dyDescent="0.55000000000000004">
      <c r="C182" t="s">
        <v>603</v>
      </c>
      <c r="D182" s="1">
        <v>287.36</v>
      </c>
      <c r="F182" s="1">
        <v>304.12</v>
      </c>
      <c r="G182" s="1">
        <v>387.28</v>
      </c>
      <c r="H182" s="1">
        <v>1</v>
      </c>
      <c r="J182" s="9">
        <v>3354</v>
      </c>
    </row>
    <row r="183" spans="2:10" x14ac:dyDescent="0.55000000000000004">
      <c r="C183" t="s">
        <v>604</v>
      </c>
      <c r="D183" s="1">
        <v>346</v>
      </c>
      <c r="F183" s="1">
        <v>366.18</v>
      </c>
      <c r="G183" s="1">
        <v>466.42</v>
      </c>
      <c r="H183" s="1">
        <v>1</v>
      </c>
      <c r="J183" s="9">
        <v>8974</v>
      </c>
    </row>
    <row r="184" spans="2:10" x14ac:dyDescent="0.55000000000000004">
      <c r="D184">
        <f>+SUM(D178:D183)</f>
        <v>2521.7200000000003</v>
      </c>
      <c r="F184">
        <f>+SUM(F178:F183)</f>
        <v>3518.98</v>
      </c>
      <c r="G184">
        <f>+SUM(G178:G183)</f>
        <v>2735.9399999999996</v>
      </c>
      <c r="H184">
        <f>+SUM(H178:H183)</f>
        <v>48</v>
      </c>
      <c r="J184" s="9">
        <f>+SUM(J178:J183)</f>
        <v>60491</v>
      </c>
    </row>
    <row r="186" spans="2:10" x14ac:dyDescent="0.55000000000000004">
      <c r="J186" s="23">
        <f>+J184+J176</f>
        <v>2293943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1A69-8F69-4A11-9B13-7BC7479E7AF4}">
  <dimension ref="A1:AO137"/>
  <sheetViews>
    <sheetView workbookViewId="0"/>
  </sheetViews>
  <sheetFormatPr defaultRowHeight="17.600000000000001" x14ac:dyDescent="0.55000000000000004"/>
  <cols>
    <col min="3" max="3" width="13.5" bestFit="1" customWidth="1"/>
    <col min="4" max="4" width="11.7109375" bestFit="1" customWidth="1"/>
    <col min="5" max="5" width="14.7109375" bestFit="1" customWidth="1"/>
    <col min="6" max="6" width="10.2109375" bestFit="1" customWidth="1"/>
    <col min="7" max="7" width="11.7109375" bestFit="1" customWidth="1"/>
    <col min="9" max="9" width="11.7109375" bestFit="1" customWidth="1"/>
    <col min="11" max="11" width="11.7109375" bestFit="1" customWidth="1"/>
    <col min="12" max="12" width="9.140625" style="14"/>
    <col min="13" max="13" width="11.7109375" bestFit="1" customWidth="1"/>
    <col min="20" max="20" width="11.140625" customWidth="1"/>
    <col min="30" max="30" width="10.640625" bestFit="1" customWidth="1"/>
  </cols>
  <sheetData>
    <row r="1" spans="1:26" s="14" customFormat="1" x14ac:dyDescent="0.55000000000000004">
      <c r="L1" s="14" t="s">
        <v>160</v>
      </c>
    </row>
    <row r="3" spans="1:26" x14ac:dyDescent="0.55000000000000004">
      <c r="A3" t="s">
        <v>35</v>
      </c>
    </row>
    <row r="5" spans="1:26" x14ac:dyDescent="0.55000000000000004">
      <c r="A5" t="s">
        <v>159</v>
      </c>
    </row>
    <row r="6" spans="1:26" x14ac:dyDescent="0.55000000000000004">
      <c r="E6" t="s">
        <v>161</v>
      </c>
      <c r="F6" t="s">
        <v>162</v>
      </c>
    </row>
    <row r="7" spans="1:26" x14ac:dyDescent="0.55000000000000004">
      <c r="B7" t="s">
        <v>164</v>
      </c>
      <c r="E7" s="9">
        <v>6176900</v>
      </c>
      <c r="F7" t="s">
        <v>738</v>
      </c>
    </row>
    <row r="8" spans="1:26" x14ac:dyDescent="0.55000000000000004">
      <c r="B8" t="s">
        <v>166</v>
      </c>
      <c r="E8" s="9">
        <v>2729300</v>
      </c>
      <c r="F8" t="s">
        <v>738</v>
      </c>
    </row>
    <row r="9" spans="1:26" x14ac:dyDescent="0.55000000000000004">
      <c r="B9" t="s">
        <v>167</v>
      </c>
      <c r="E9" s="9">
        <v>3612300</v>
      </c>
      <c r="F9" t="s">
        <v>738</v>
      </c>
    </row>
    <row r="10" spans="1:26" x14ac:dyDescent="0.55000000000000004">
      <c r="B10" t="s">
        <v>159</v>
      </c>
      <c r="E10" s="13">
        <f>+(E7-E8)/E9</f>
        <v>0.95440578025080969</v>
      </c>
      <c r="F10" t="s">
        <v>738</v>
      </c>
    </row>
    <row r="12" spans="1:26" x14ac:dyDescent="0.55000000000000004">
      <c r="A12" t="s">
        <v>169</v>
      </c>
    </row>
    <row r="13" spans="1:26" x14ac:dyDescent="0.55000000000000004">
      <c r="E13" t="s">
        <v>170</v>
      </c>
      <c r="F13" t="s">
        <v>171</v>
      </c>
      <c r="G13" t="s">
        <v>163</v>
      </c>
    </row>
    <row r="14" spans="1:26" x14ac:dyDescent="0.55000000000000004">
      <c r="B14" t="s">
        <v>172</v>
      </c>
      <c r="E14" s="1">
        <v>88958.7</v>
      </c>
      <c r="F14" t="s">
        <v>739</v>
      </c>
    </row>
    <row r="16" spans="1:26" x14ac:dyDescent="0.55000000000000004">
      <c r="B16" t="s">
        <v>176</v>
      </c>
      <c r="N16" t="s">
        <v>740</v>
      </c>
      <c r="Z16" t="s">
        <v>741</v>
      </c>
    </row>
    <row r="17" spans="1:9" x14ac:dyDescent="0.55000000000000004">
      <c r="B17" t="s">
        <v>177</v>
      </c>
      <c r="E17" s="3">
        <f>+E14*G17</f>
        <v>355825.90412999998</v>
      </c>
      <c r="G17" s="2">
        <v>3.9998999999999998</v>
      </c>
      <c r="H17" t="s">
        <v>179</v>
      </c>
      <c r="I17" t="s">
        <v>739</v>
      </c>
    </row>
    <row r="18" spans="1:9" x14ac:dyDescent="0.55000000000000004">
      <c r="B18" t="s">
        <v>181</v>
      </c>
      <c r="E18" s="3">
        <f>+E19-E17</f>
        <v>254684.38363863359</v>
      </c>
    </row>
    <row r="19" spans="1:9" x14ac:dyDescent="0.55000000000000004">
      <c r="B19" t="s">
        <v>184</v>
      </c>
      <c r="E19" s="130">
        <f>+K58</f>
        <v>610510.28776863357</v>
      </c>
      <c r="G19" t="s">
        <v>742</v>
      </c>
    </row>
    <row r="20" spans="1:9" x14ac:dyDescent="0.55000000000000004">
      <c r="G20">
        <v>565766.06000000006</v>
      </c>
    </row>
    <row r="22" spans="1:9" s="14" customFormat="1" x14ac:dyDescent="0.55000000000000004"/>
    <row r="24" spans="1:9" x14ac:dyDescent="0.55000000000000004">
      <c r="A24" t="s">
        <v>186</v>
      </c>
      <c r="B24" t="s">
        <v>38</v>
      </c>
    </row>
    <row r="25" spans="1:9" x14ac:dyDescent="0.55000000000000004">
      <c r="E25" t="s">
        <v>170</v>
      </c>
      <c r="F25" t="s">
        <v>171</v>
      </c>
      <c r="G25" t="s">
        <v>163</v>
      </c>
    </row>
    <row r="26" spans="1:9" x14ac:dyDescent="0.55000000000000004">
      <c r="B26" t="s">
        <v>187</v>
      </c>
      <c r="E26" s="1">
        <v>2473</v>
      </c>
      <c r="F26" t="s">
        <v>740</v>
      </c>
    </row>
    <row r="27" spans="1:9" x14ac:dyDescent="0.55000000000000004">
      <c r="B27" t="s">
        <v>188</v>
      </c>
      <c r="E27" s="1">
        <v>343</v>
      </c>
      <c r="F27" t="s">
        <v>740</v>
      </c>
    </row>
    <row r="28" spans="1:9" x14ac:dyDescent="0.55000000000000004">
      <c r="B28" t="s">
        <v>342</v>
      </c>
      <c r="E28" s="1">
        <f>216+672+360+336</f>
        <v>1584</v>
      </c>
      <c r="F28" t="s">
        <v>740</v>
      </c>
    </row>
    <row r="29" spans="1:9" x14ac:dyDescent="0.55000000000000004">
      <c r="B29" t="s">
        <v>343</v>
      </c>
      <c r="E29" s="1">
        <f>+E26-E27-E28</f>
        <v>546</v>
      </c>
      <c r="F29" t="s">
        <v>740</v>
      </c>
    </row>
    <row r="32" spans="1:9" s="14" customFormat="1" x14ac:dyDescent="0.55000000000000004"/>
    <row r="34" spans="1:41" x14ac:dyDescent="0.55000000000000004">
      <c r="A34" t="s">
        <v>186</v>
      </c>
      <c r="B34" t="s">
        <v>191</v>
      </c>
      <c r="N34" t="s">
        <v>738</v>
      </c>
      <c r="Z34" t="s">
        <v>738</v>
      </c>
    </row>
    <row r="35" spans="1:41" x14ac:dyDescent="0.55000000000000004">
      <c r="AJ35" t="s">
        <v>210</v>
      </c>
      <c r="AK35" t="s">
        <v>743</v>
      </c>
      <c r="AL35" t="s">
        <v>195</v>
      </c>
      <c r="AM35" t="s">
        <v>39</v>
      </c>
      <c r="AN35" t="s">
        <v>744</v>
      </c>
    </row>
    <row r="36" spans="1:41" x14ac:dyDescent="0.55000000000000004">
      <c r="B36" t="s">
        <v>187</v>
      </c>
      <c r="AJ36" s="1">
        <v>59.9</v>
      </c>
      <c r="AK36" s="1">
        <v>1400</v>
      </c>
      <c r="AL36">
        <v>80</v>
      </c>
      <c r="AM36">
        <f>+AK36/(AL36*0.3025)</f>
        <v>57.851239669421489</v>
      </c>
      <c r="AN36">
        <v>75</v>
      </c>
      <c r="AO36">
        <f>+AM36/AN36</f>
        <v>0.77134986225895319</v>
      </c>
    </row>
    <row r="37" spans="1:41" x14ac:dyDescent="0.55000000000000004">
      <c r="AJ37" s="1">
        <v>84.9</v>
      </c>
      <c r="AK37" s="1">
        <v>2000</v>
      </c>
      <c r="AL37">
        <f t="shared" ref="AL37:AL42" si="0">+$AL$36*AJ37/$AJ$36</f>
        <v>113.38898163606011</v>
      </c>
      <c r="AM37">
        <f>+AK37/(AL37*0.3025)</f>
        <v>58.308754100594761</v>
      </c>
    </row>
    <row r="38" spans="1:41" x14ac:dyDescent="0.55000000000000004">
      <c r="AJ38" s="1">
        <v>103.9</v>
      </c>
      <c r="AK38" s="1">
        <v>2430</v>
      </c>
      <c r="AL38">
        <f t="shared" si="0"/>
        <v>138.76460767946577</v>
      </c>
      <c r="AM38">
        <v>57.851239669421489</v>
      </c>
    </row>
    <row r="39" spans="1:41" x14ac:dyDescent="0.55000000000000004">
      <c r="AJ39" s="1">
        <v>128.9</v>
      </c>
      <c r="AK39" s="1">
        <v>3010</v>
      </c>
      <c r="AL39">
        <f t="shared" si="0"/>
        <v>172.15358931552589</v>
      </c>
      <c r="AM39">
        <f>+AK39/(AL39*0.3025)</f>
        <v>57.799626848925108</v>
      </c>
    </row>
    <row r="40" spans="1:41" x14ac:dyDescent="0.55000000000000004">
      <c r="AJ40" s="1">
        <v>154.9</v>
      </c>
      <c r="AK40" s="1">
        <v>3620</v>
      </c>
      <c r="AL40">
        <f t="shared" si="0"/>
        <v>206.8781302170284</v>
      </c>
      <c r="AM40">
        <f>+AK40/(AL40*0.3025)</f>
        <v>57.84537078040217</v>
      </c>
    </row>
    <row r="41" spans="1:41" x14ac:dyDescent="0.55000000000000004">
      <c r="C41" t="s">
        <v>230</v>
      </c>
      <c r="D41" t="s">
        <v>210</v>
      </c>
      <c r="E41" t="s">
        <v>195</v>
      </c>
      <c r="F41" t="s">
        <v>38</v>
      </c>
      <c r="G41" t="s">
        <v>348</v>
      </c>
      <c r="H41" t="s">
        <v>232</v>
      </c>
      <c r="I41" t="s">
        <v>233</v>
      </c>
      <c r="J41" t="s">
        <v>349</v>
      </c>
      <c r="K41" s="3" t="s">
        <v>350</v>
      </c>
      <c r="AJ41" s="1">
        <v>178.9</v>
      </c>
      <c r="AK41" s="1">
        <v>4180</v>
      </c>
      <c r="AL41">
        <f t="shared" si="0"/>
        <v>238.93155258764608</v>
      </c>
      <c r="AM41">
        <f>+AK41/(AL41*0.3025)</f>
        <v>57.833223232887853</v>
      </c>
    </row>
    <row r="42" spans="1:41" x14ac:dyDescent="0.55000000000000004">
      <c r="B42" t="s">
        <v>196</v>
      </c>
      <c r="C42" t="s">
        <v>194</v>
      </c>
      <c r="D42" s="22">
        <f>+D43*E42/E43</f>
        <v>149.42919307958394</v>
      </c>
      <c r="E42" s="44">
        <f>+H42/G42/0.3025</f>
        <v>199.5715433450203</v>
      </c>
      <c r="F42" s="1">
        <v>984</v>
      </c>
      <c r="G42" s="1">
        <v>58</v>
      </c>
      <c r="H42" s="3">
        <f>+I42/F42</f>
        <v>3501.4827279883812</v>
      </c>
      <c r="I42" s="3">
        <f>+I56</f>
        <v>3445459.0043405672</v>
      </c>
      <c r="J42">
        <f>+J43*D42/D43</f>
        <v>336.38057436997371</v>
      </c>
      <c r="K42" s="3">
        <f>+J42*F42</f>
        <v>330998.48518005415</v>
      </c>
      <c r="L42" t="s">
        <v>740</v>
      </c>
      <c r="AJ42" s="1">
        <v>200.9</v>
      </c>
      <c r="AK42" s="1">
        <v>4700</v>
      </c>
      <c r="AL42">
        <f t="shared" si="0"/>
        <v>268.31385642737899</v>
      </c>
      <c r="AM42">
        <f>+AK42/(AL42*0.3025)</f>
        <v>57.906774884918683</v>
      </c>
    </row>
    <row r="43" spans="1:41" x14ac:dyDescent="0.55000000000000004">
      <c r="C43" t="s">
        <v>193</v>
      </c>
      <c r="D43" s="1">
        <v>84.9</v>
      </c>
      <c r="E43" s="44">
        <f>+AL37</f>
        <v>113.38898163606011</v>
      </c>
      <c r="F43" s="1">
        <f>+E28-F42</f>
        <v>600</v>
      </c>
      <c r="G43" s="1">
        <v>58</v>
      </c>
      <c r="H43" s="3">
        <f>+E43*0.3025*G43</f>
        <v>1989.4096828046747</v>
      </c>
      <c r="I43" s="3">
        <f>+H43*F43</f>
        <v>1193645.8096828049</v>
      </c>
      <c r="J43" s="1">
        <f>+J47</f>
        <v>191.11868421052634</v>
      </c>
      <c r="K43" s="3">
        <f>+J43*F43</f>
        <v>114671.2105263158</v>
      </c>
      <c r="L43" t="s">
        <v>740</v>
      </c>
    </row>
    <row r="44" spans="1:41" x14ac:dyDescent="0.55000000000000004">
      <c r="C44" t="s">
        <v>745</v>
      </c>
      <c r="D44" s="1">
        <v>59.9</v>
      </c>
      <c r="E44" s="44">
        <f>+AL36</f>
        <v>80</v>
      </c>
      <c r="G44" s="1"/>
      <c r="H44" s="3"/>
      <c r="I44" s="3"/>
      <c r="K44" s="3"/>
      <c r="L44" t="s">
        <v>740</v>
      </c>
    </row>
    <row r="45" spans="1:41" x14ac:dyDescent="0.55000000000000004">
      <c r="D45" s="1"/>
      <c r="E45" s="44"/>
      <c r="G45" s="1"/>
      <c r="H45" s="3"/>
      <c r="I45" s="3"/>
      <c r="K45" s="3"/>
    </row>
    <row r="46" spans="1:41" x14ac:dyDescent="0.55000000000000004">
      <c r="B46" t="s">
        <v>196</v>
      </c>
      <c r="C46" t="s">
        <v>194</v>
      </c>
      <c r="D46" s="1"/>
      <c r="E46" s="44"/>
      <c r="G46" s="1"/>
      <c r="H46" s="3"/>
      <c r="I46" s="3"/>
      <c r="K46" s="3"/>
      <c r="L46" t="s">
        <v>740</v>
      </c>
    </row>
    <row r="47" spans="1:41" x14ac:dyDescent="0.55000000000000004">
      <c r="C47" t="s">
        <v>193</v>
      </c>
      <c r="D47" s="1">
        <v>84.9</v>
      </c>
      <c r="E47" s="44">
        <f>+E43</f>
        <v>113.38898163606011</v>
      </c>
      <c r="F47" s="1">
        <f>991-F43</f>
        <v>391</v>
      </c>
      <c r="G47" s="1">
        <v>75</v>
      </c>
      <c r="H47" s="3">
        <f>+E47*0.3025*G47</f>
        <v>2572.5125208681138</v>
      </c>
      <c r="I47" s="3">
        <f>+H47*F47</f>
        <v>1005852.3956594325</v>
      </c>
      <c r="J47" s="1">
        <f>+J50</f>
        <v>191.11868421052634</v>
      </c>
      <c r="K47" s="3">
        <f>+J47*F47</f>
        <v>74727.405526315793</v>
      </c>
      <c r="L47" t="s">
        <v>740</v>
      </c>
    </row>
    <row r="48" spans="1:41" x14ac:dyDescent="0.55000000000000004">
      <c r="C48" t="s">
        <v>745</v>
      </c>
      <c r="D48" s="1">
        <v>59.9</v>
      </c>
      <c r="E48" s="44">
        <f>+E44</f>
        <v>80</v>
      </c>
      <c r="F48" s="1">
        <v>155</v>
      </c>
      <c r="G48" s="1">
        <v>75</v>
      </c>
      <c r="H48" s="3">
        <f>+E48*0.3025*G48</f>
        <v>1815</v>
      </c>
      <c r="I48" s="3">
        <f>+H48*F48</f>
        <v>281325</v>
      </c>
      <c r="J48" s="1">
        <f>+J51</f>
        <v>134.04326797385619</v>
      </c>
      <c r="K48" s="3">
        <f>+J48*F48</f>
        <v>20776.706535947709</v>
      </c>
      <c r="L48" t="s">
        <v>740</v>
      </c>
    </row>
    <row r="49" spans="1:13" x14ac:dyDescent="0.55000000000000004">
      <c r="D49" s="1"/>
      <c r="E49" s="44"/>
      <c r="H49" s="3"/>
      <c r="I49" s="3"/>
      <c r="K49" s="3"/>
    </row>
    <row r="50" spans="1:13" x14ac:dyDescent="0.55000000000000004">
      <c r="B50" t="s">
        <v>746</v>
      </c>
      <c r="C50" t="s">
        <v>193</v>
      </c>
      <c r="D50" s="1">
        <v>84.9</v>
      </c>
      <c r="E50" s="44">
        <f>+E47</f>
        <v>113.38898163606011</v>
      </c>
      <c r="F50" s="1">
        <v>190</v>
      </c>
      <c r="G50">
        <v>6</v>
      </c>
      <c r="H50" s="3">
        <f>+E50*0.3025*G50</f>
        <v>205.80100166944911</v>
      </c>
      <c r="I50" s="3">
        <f>+H50*F50</f>
        <v>39102.190317195331</v>
      </c>
      <c r="J50" s="1">
        <f>+M50/F50</f>
        <v>191.11868421052634</v>
      </c>
      <c r="K50" s="3">
        <f>+J50*F50</f>
        <v>36312.550000000003</v>
      </c>
      <c r="L50" t="s">
        <v>741</v>
      </c>
      <c r="M50" s="39">
        <v>36312.550000000003</v>
      </c>
    </row>
    <row r="51" spans="1:13" x14ac:dyDescent="0.55000000000000004">
      <c r="C51" t="s">
        <v>745</v>
      </c>
      <c r="D51" s="1">
        <v>59.9</v>
      </c>
      <c r="E51" s="44">
        <f>+E48</f>
        <v>80</v>
      </c>
      <c r="F51" s="1">
        <v>153</v>
      </c>
      <c r="G51">
        <v>6</v>
      </c>
      <c r="H51" s="3">
        <f>+E51*0.3025*G51</f>
        <v>145.19999999999999</v>
      </c>
      <c r="I51" s="3">
        <f>+H51*F51</f>
        <v>22215.599999999999</v>
      </c>
      <c r="J51" s="1">
        <f>+M51/F51</f>
        <v>134.04326797385619</v>
      </c>
      <c r="K51" s="3">
        <f>+J51*F51</f>
        <v>20508.619999999995</v>
      </c>
      <c r="L51" t="s">
        <v>741</v>
      </c>
      <c r="M51" s="39">
        <v>20508.62</v>
      </c>
    </row>
    <row r="52" spans="1:13" x14ac:dyDescent="0.55000000000000004">
      <c r="H52" s="3"/>
      <c r="I52" s="3"/>
      <c r="K52" s="3"/>
      <c r="M52" s="39"/>
    </row>
    <row r="53" spans="1:13" x14ac:dyDescent="0.55000000000000004">
      <c r="B53" t="s">
        <v>361</v>
      </c>
      <c r="G53" s="1">
        <v>50</v>
      </c>
      <c r="I53" s="3">
        <v>189300</v>
      </c>
      <c r="J53" s="1">
        <v>12515.31</v>
      </c>
      <c r="K53" s="3">
        <f>+J53</f>
        <v>12515.31</v>
      </c>
    </row>
    <row r="54" spans="1:13" x14ac:dyDescent="0.55000000000000004">
      <c r="I54" s="3"/>
      <c r="K54" s="3"/>
    </row>
    <row r="55" spans="1:13" x14ac:dyDescent="0.55000000000000004">
      <c r="I55" s="3">
        <f>+SUM(I43:I53)</f>
        <v>2731440.9956594328</v>
      </c>
      <c r="J55" t="s">
        <v>747</v>
      </c>
      <c r="K55" s="3"/>
    </row>
    <row r="56" spans="1:13" x14ac:dyDescent="0.55000000000000004">
      <c r="I56" s="4">
        <f>+I57-I55</f>
        <v>3445459.0043405672</v>
      </c>
      <c r="J56" t="s">
        <v>748</v>
      </c>
      <c r="K56" s="3"/>
    </row>
    <row r="57" spans="1:13" x14ac:dyDescent="0.55000000000000004">
      <c r="I57" s="23">
        <f>+E7</f>
        <v>6176900</v>
      </c>
      <c r="J57" t="s">
        <v>749</v>
      </c>
      <c r="K57" s="3"/>
    </row>
    <row r="58" spans="1:13" x14ac:dyDescent="0.55000000000000004">
      <c r="J58" t="s">
        <v>750</v>
      </c>
      <c r="K58" s="3">
        <f>+SUM(K42:K53)</f>
        <v>610510.28776863357</v>
      </c>
      <c r="L58" s="8" t="s">
        <v>751</v>
      </c>
    </row>
    <row r="60" spans="1:13" s="14" customFormat="1" x14ac:dyDescent="0.55000000000000004">
      <c r="A60" s="14" t="s">
        <v>239</v>
      </c>
    </row>
    <row r="62" spans="1:13" x14ac:dyDescent="0.55000000000000004">
      <c r="B62" t="s">
        <v>240</v>
      </c>
    </row>
    <row r="64" spans="1:13" ht="28.3" x14ac:dyDescent="0.55000000000000004">
      <c r="B64" s="47" t="s">
        <v>383</v>
      </c>
      <c r="C64" s="47"/>
      <c r="D64" s="47" t="s">
        <v>384</v>
      </c>
      <c r="E64" s="47" t="s">
        <v>385</v>
      </c>
      <c r="F64" s="47" t="s">
        <v>386</v>
      </c>
      <c r="G64" s="47" t="s">
        <v>387</v>
      </c>
      <c r="H64" s="47" t="s">
        <v>37</v>
      </c>
      <c r="I64" s="47" t="s">
        <v>388</v>
      </c>
      <c r="J64" s="47" t="s">
        <v>389</v>
      </c>
      <c r="K64" s="3"/>
    </row>
    <row r="65" spans="2:12" x14ac:dyDescent="0.55000000000000004">
      <c r="B65" t="s">
        <v>382</v>
      </c>
      <c r="D65" s="1">
        <v>60.96</v>
      </c>
      <c r="E65" s="1"/>
      <c r="F65" s="1"/>
      <c r="G65" s="1"/>
      <c r="H65" s="1">
        <v>216</v>
      </c>
      <c r="I65" s="1"/>
      <c r="J65" s="1">
        <v>1555.9</v>
      </c>
      <c r="K65" s="3">
        <f>+J65*H65</f>
        <v>336074.4</v>
      </c>
      <c r="L65" t="s">
        <v>738</v>
      </c>
    </row>
    <row r="66" spans="2:12" x14ac:dyDescent="0.55000000000000004">
      <c r="D66" s="1">
        <v>79.239999999999995</v>
      </c>
      <c r="E66" s="1"/>
      <c r="F66" s="1"/>
      <c r="G66" s="1"/>
      <c r="H66" s="1">
        <v>672</v>
      </c>
      <c r="I66" s="1"/>
      <c r="J66" s="1">
        <v>1852.04</v>
      </c>
      <c r="K66" s="3">
        <f>+J66*H66</f>
        <v>1244570.8799999999</v>
      </c>
      <c r="L66" t="s">
        <v>738</v>
      </c>
    </row>
    <row r="67" spans="2:12" x14ac:dyDescent="0.55000000000000004">
      <c r="D67" s="1">
        <v>118.12</v>
      </c>
      <c r="E67" s="1"/>
      <c r="F67" s="1"/>
      <c r="G67" s="1"/>
      <c r="H67" s="1">
        <v>360</v>
      </c>
      <c r="I67" s="1"/>
      <c r="J67" s="1">
        <v>2387.08</v>
      </c>
      <c r="K67" s="3">
        <f>+J67*H67</f>
        <v>859348.79999999993</v>
      </c>
      <c r="L67" t="s">
        <v>738</v>
      </c>
    </row>
    <row r="68" spans="2:12" x14ac:dyDescent="0.55000000000000004">
      <c r="D68" s="1">
        <v>156.99</v>
      </c>
      <c r="E68" s="1"/>
      <c r="F68" s="1"/>
      <c r="G68" s="1"/>
      <c r="H68" s="1">
        <v>336</v>
      </c>
      <c r="I68" s="1"/>
      <c r="J68" s="1">
        <v>2964.5</v>
      </c>
      <c r="K68" s="3">
        <f>+J68*H68</f>
        <v>996072</v>
      </c>
      <c r="L68" t="s">
        <v>738</v>
      </c>
    </row>
    <row r="69" spans="2:12" x14ac:dyDescent="0.55000000000000004">
      <c r="K69" s="3"/>
    </row>
    <row r="70" spans="2:12" x14ac:dyDescent="0.55000000000000004">
      <c r="B70" t="s">
        <v>598</v>
      </c>
      <c r="C70" t="s">
        <v>181</v>
      </c>
      <c r="J70" s="1">
        <v>1330</v>
      </c>
      <c r="K70" s="3"/>
    </row>
    <row r="71" spans="2:12" x14ac:dyDescent="0.55000000000000004">
      <c r="C71" t="s">
        <v>177</v>
      </c>
      <c r="J71" s="1">
        <v>2030</v>
      </c>
      <c r="K71" s="3"/>
    </row>
    <row r="72" spans="2:12" x14ac:dyDescent="0.55000000000000004">
      <c r="K72" s="3"/>
    </row>
    <row r="73" spans="2:12" x14ac:dyDescent="0.55000000000000004">
      <c r="K73" s="3">
        <f>+SUM(K65:K71)</f>
        <v>3436066.0799999996</v>
      </c>
      <c r="L73" s="14" t="s">
        <v>752</v>
      </c>
    </row>
    <row r="74" spans="2:12" x14ac:dyDescent="0.55000000000000004">
      <c r="K74" s="3">
        <f>+K75-K73</f>
        <v>176233.92000000039</v>
      </c>
      <c r="L74" s="14" t="s">
        <v>598</v>
      </c>
    </row>
    <row r="75" spans="2:12" x14ac:dyDescent="0.55000000000000004">
      <c r="K75" s="9">
        <f>+E9</f>
        <v>3612300</v>
      </c>
      <c r="L75" s="14" t="s">
        <v>753</v>
      </c>
    </row>
    <row r="76" spans="2:12" x14ac:dyDescent="0.55000000000000004">
      <c r="K76" s="3"/>
    </row>
    <row r="78" spans="2:12" x14ac:dyDescent="0.55000000000000004">
      <c r="B78" t="s">
        <v>247</v>
      </c>
    </row>
    <row r="79" spans="2:12" x14ac:dyDescent="0.55000000000000004">
      <c r="D79" t="s">
        <v>248</v>
      </c>
      <c r="E79" t="s">
        <v>154</v>
      </c>
      <c r="F79" t="s">
        <v>155</v>
      </c>
      <c r="G79" t="s">
        <v>247</v>
      </c>
    </row>
    <row r="80" spans="2:12" x14ac:dyDescent="0.55000000000000004">
      <c r="D80" s="131">
        <f>+K58</f>
        <v>610510.28776863357</v>
      </c>
      <c r="E80" s="3">
        <f>+G80/1.3</f>
        <v>2099461.5384615385</v>
      </c>
      <c r="F80" s="3">
        <f>+E80*0.3</f>
        <v>629838.4615384615</v>
      </c>
      <c r="G80" s="9">
        <f>+E8</f>
        <v>2729300</v>
      </c>
    </row>
    <row r="81" spans="1:8" x14ac:dyDescent="0.55000000000000004">
      <c r="D81" t="s">
        <v>754</v>
      </c>
      <c r="E81" t="s">
        <v>250</v>
      </c>
      <c r="F81" s="11">
        <f>+F80/E80</f>
        <v>0.3</v>
      </c>
      <c r="H81" t="s">
        <v>605</v>
      </c>
    </row>
    <row r="82" spans="1:8" x14ac:dyDescent="0.55000000000000004">
      <c r="E82" s="39">
        <f>+E80/(D80*0.3025)</f>
        <v>11.368143766345689</v>
      </c>
      <c r="F82" t="s">
        <v>606</v>
      </c>
    </row>
    <row r="84" spans="1:8" x14ac:dyDescent="0.55000000000000004">
      <c r="B84" t="s">
        <v>159</v>
      </c>
    </row>
    <row r="85" spans="1:8" x14ac:dyDescent="0.55000000000000004">
      <c r="C85" t="s">
        <v>251</v>
      </c>
      <c r="D85" t="s">
        <v>247</v>
      </c>
      <c r="E85" t="s">
        <v>34</v>
      </c>
      <c r="F85" t="s">
        <v>159</v>
      </c>
    </row>
    <row r="86" spans="1:8" x14ac:dyDescent="0.55000000000000004">
      <c r="C86" s="30">
        <f>+I57</f>
        <v>6176900</v>
      </c>
      <c r="D86" s="4">
        <f>+G80</f>
        <v>2729300</v>
      </c>
      <c r="E86" s="57">
        <f>+K75</f>
        <v>3612300</v>
      </c>
      <c r="F86" s="13">
        <f>+(C86-D86)/E86</f>
        <v>0.95440578025080969</v>
      </c>
    </row>
    <row r="88" spans="1:8" s="14" customFormat="1" x14ac:dyDescent="0.55000000000000004">
      <c r="A88" s="14" t="s">
        <v>254</v>
      </c>
      <c r="G88" s="101"/>
      <c r="H88" s="8"/>
    </row>
    <row r="89" spans="1:8" x14ac:dyDescent="0.55000000000000004">
      <c r="A89" s="5"/>
    </row>
    <row r="90" spans="1:8" x14ac:dyDescent="0.55000000000000004">
      <c r="A90" s="5"/>
      <c r="B90" t="s">
        <v>255</v>
      </c>
      <c r="E90" t="s">
        <v>256</v>
      </c>
      <c r="F90" t="s">
        <v>241</v>
      </c>
    </row>
    <row r="91" spans="1:8" x14ac:dyDescent="0.55000000000000004">
      <c r="A91" s="5"/>
      <c r="C91" t="s">
        <v>259</v>
      </c>
      <c r="E91" s="55">
        <v>75</v>
      </c>
      <c r="F91" t="s">
        <v>258</v>
      </c>
    </row>
    <row r="92" spans="1:8" x14ac:dyDescent="0.55000000000000004">
      <c r="A92" s="5"/>
      <c r="C92" t="s">
        <v>257</v>
      </c>
      <c r="E92" s="55">
        <v>58</v>
      </c>
      <c r="F92" t="s">
        <v>258</v>
      </c>
    </row>
    <row r="93" spans="1:8" x14ac:dyDescent="0.55000000000000004">
      <c r="A93" s="5"/>
      <c r="C93" t="s">
        <v>154</v>
      </c>
      <c r="E93" s="58">
        <v>11.37</v>
      </c>
      <c r="F93" t="s">
        <v>260</v>
      </c>
    </row>
    <row r="94" spans="1:8" x14ac:dyDescent="0.55000000000000004">
      <c r="A94" s="5"/>
    </row>
    <row r="95" spans="1:8" s="14" customFormat="1" x14ac:dyDescent="0.55000000000000004">
      <c r="A95" s="14" t="s">
        <v>261</v>
      </c>
    </row>
    <row r="96" spans="1:8" x14ac:dyDescent="0.55000000000000004">
      <c r="A96" s="15"/>
    </row>
    <row r="97" spans="1:11" x14ac:dyDescent="0.55000000000000004">
      <c r="A97" s="15"/>
      <c r="B97" t="s">
        <v>251</v>
      </c>
    </row>
    <row r="98" spans="1:11" x14ac:dyDescent="0.55000000000000004">
      <c r="A98" s="15"/>
    </row>
    <row r="99" spans="1:11" x14ac:dyDescent="0.55000000000000004">
      <c r="A99" s="15"/>
      <c r="C99" t="s">
        <v>230</v>
      </c>
      <c r="D99" t="s">
        <v>210</v>
      </c>
      <c r="E99" t="s">
        <v>195</v>
      </c>
      <c r="F99" t="s">
        <v>38</v>
      </c>
      <c r="G99" t="s">
        <v>348</v>
      </c>
      <c r="H99" t="s">
        <v>232</v>
      </c>
      <c r="I99" t="s">
        <v>233</v>
      </c>
      <c r="J99" t="s">
        <v>349</v>
      </c>
      <c r="K99" t="s">
        <v>350</v>
      </c>
    </row>
    <row r="100" spans="1:11" x14ac:dyDescent="0.55000000000000004">
      <c r="A100" s="15"/>
      <c r="B100" t="s">
        <v>196</v>
      </c>
      <c r="C100" t="s">
        <v>194</v>
      </c>
      <c r="D100" s="22">
        <f>+D42</f>
        <v>149.42919307958394</v>
      </c>
      <c r="E100" s="44">
        <f>+E42</f>
        <v>199.5715433450203</v>
      </c>
      <c r="F100" s="1">
        <f>+F42</f>
        <v>984</v>
      </c>
      <c r="G100" s="68">
        <f>+E92</f>
        <v>58</v>
      </c>
      <c r="H100" s="3">
        <f>+G100*E100*0.3025</f>
        <v>3501.4827279883812</v>
      </c>
      <c r="I100" s="3">
        <f>+H100*F100</f>
        <v>3445459.0043405672</v>
      </c>
      <c r="J100">
        <f>+J101*D100/D101</f>
        <v>0</v>
      </c>
      <c r="K100" s="3">
        <f>+J100*F100</f>
        <v>0</v>
      </c>
    </row>
    <row r="101" spans="1:11" x14ac:dyDescent="0.55000000000000004">
      <c r="A101" s="15"/>
      <c r="C101" t="s">
        <v>193</v>
      </c>
      <c r="D101" s="1">
        <v>84.9</v>
      </c>
      <c r="E101" s="44">
        <f>+E43</f>
        <v>113.38898163606011</v>
      </c>
      <c r="F101" s="1">
        <f>+F43</f>
        <v>600</v>
      </c>
      <c r="G101" s="68">
        <f>+G100</f>
        <v>58</v>
      </c>
      <c r="H101" s="3">
        <f>+G101*E101*0.3025</f>
        <v>1989.4096828046745</v>
      </c>
      <c r="I101" s="3">
        <f>+H101*F101</f>
        <v>1193645.8096828046</v>
      </c>
      <c r="J101" s="1">
        <f>+J105</f>
        <v>0</v>
      </c>
      <c r="K101" s="3">
        <f>+J101*F101</f>
        <v>0</v>
      </c>
    </row>
    <row r="102" spans="1:11" x14ac:dyDescent="0.55000000000000004">
      <c r="A102" s="15"/>
      <c r="C102" t="s">
        <v>745</v>
      </c>
      <c r="D102" s="1">
        <v>59.9</v>
      </c>
      <c r="E102" s="44">
        <f>+E44</f>
        <v>80</v>
      </c>
      <c r="F102" s="1">
        <f>+F44</f>
        <v>0</v>
      </c>
      <c r="G102" s="68">
        <v>58</v>
      </c>
      <c r="H102" s="3">
        <f>+G102*E102*0.3025</f>
        <v>1403.6</v>
      </c>
      <c r="I102" s="3"/>
      <c r="K102" s="3"/>
    </row>
    <row r="103" spans="1:11" x14ac:dyDescent="0.55000000000000004">
      <c r="A103" s="15"/>
      <c r="D103" s="1"/>
      <c r="E103" s="44"/>
      <c r="G103" s="1"/>
      <c r="H103" s="3"/>
      <c r="I103" s="3"/>
      <c r="K103" s="3"/>
    </row>
    <row r="104" spans="1:11" x14ac:dyDescent="0.55000000000000004">
      <c r="A104" s="15"/>
      <c r="B104" t="s">
        <v>196</v>
      </c>
      <c r="C104" t="s">
        <v>194</v>
      </c>
      <c r="D104" s="1"/>
      <c r="E104" s="44"/>
      <c r="G104" s="1"/>
      <c r="H104" s="3"/>
      <c r="I104" s="3"/>
      <c r="K104" s="3"/>
    </row>
    <row r="105" spans="1:11" x14ac:dyDescent="0.55000000000000004">
      <c r="A105" s="15"/>
      <c r="C105" t="s">
        <v>193</v>
      </c>
      <c r="D105" s="1">
        <v>84.9</v>
      </c>
      <c r="E105" s="44">
        <f>+E101</f>
        <v>113.38898163606011</v>
      </c>
      <c r="F105" s="1">
        <f>+F47</f>
        <v>391</v>
      </c>
      <c r="G105" s="68">
        <f>+E91</f>
        <v>75</v>
      </c>
      <c r="H105" s="3">
        <f>+G105*E105*0.3025</f>
        <v>2572.5125208681134</v>
      </c>
      <c r="I105" s="3">
        <f>+H105*F105</f>
        <v>1005852.3956594323</v>
      </c>
      <c r="J105" s="1">
        <f>+J108</f>
        <v>0</v>
      </c>
      <c r="K105" s="3">
        <f>+J105*F105</f>
        <v>0</v>
      </c>
    </row>
    <row r="106" spans="1:11" x14ac:dyDescent="0.55000000000000004">
      <c r="A106" s="15"/>
      <c r="C106" t="s">
        <v>745</v>
      </c>
      <c r="D106" s="1">
        <v>59.9</v>
      </c>
      <c r="E106" s="44">
        <f>+E102</f>
        <v>80</v>
      </c>
      <c r="F106" s="1">
        <f>+F48</f>
        <v>155</v>
      </c>
      <c r="G106" s="68">
        <f>+E91</f>
        <v>75</v>
      </c>
      <c r="H106" s="3">
        <f>+G106*E106*0.3025</f>
        <v>1815</v>
      </c>
      <c r="I106" s="3">
        <f>+H106*F106</f>
        <v>281325</v>
      </c>
      <c r="J106" s="1">
        <f>+J109</f>
        <v>0</v>
      </c>
      <c r="K106" s="3">
        <f>+J106*F106</f>
        <v>0</v>
      </c>
    </row>
    <row r="107" spans="1:11" x14ac:dyDescent="0.55000000000000004">
      <c r="A107" s="15"/>
      <c r="D107" s="1"/>
      <c r="E107" s="44"/>
      <c r="H107" s="3"/>
      <c r="I107" s="3"/>
      <c r="K107" s="3"/>
    </row>
    <row r="108" spans="1:11" x14ac:dyDescent="0.55000000000000004">
      <c r="A108" s="15"/>
      <c r="B108" t="s">
        <v>746</v>
      </c>
      <c r="C108" t="s">
        <v>193</v>
      </c>
      <c r="D108" s="1">
        <v>84.9</v>
      </c>
      <c r="E108" s="44">
        <f>+E105</f>
        <v>113.38898163606011</v>
      </c>
      <c r="F108" s="1">
        <f>+F50</f>
        <v>190</v>
      </c>
      <c r="G108">
        <v>6</v>
      </c>
      <c r="H108" s="3">
        <f>+G108*E108*0.3025</f>
        <v>205.80100166944908</v>
      </c>
      <c r="I108" s="3">
        <f>+H108*F108</f>
        <v>39102.190317195324</v>
      </c>
      <c r="J108" s="1">
        <f>+M108/F108</f>
        <v>0</v>
      </c>
      <c r="K108" s="3">
        <f>+J108*F108</f>
        <v>0</v>
      </c>
    </row>
    <row r="109" spans="1:11" x14ac:dyDescent="0.55000000000000004">
      <c r="A109" s="15"/>
      <c r="C109" t="s">
        <v>745</v>
      </c>
      <c r="D109" s="1">
        <v>59.9</v>
      </c>
      <c r="E109" s="44">
        <f>+E106</f>
        <v>80</v>
      </c>
      <c r="F109" s="1">
        <f>+F51</f>
        <v>153</v>
      </c>
      <c r="G109">
        <v>6</v>
      </c>
      <c r="H109" s="3">
        <f>+G109*E109*0.3025</f>
        <v>145.19999999999999</v>
      </c>
      <c r="I109" s="3">
        <f>+H109*F109</f>
        <v>22215.599999999999</v>
      </c>
      <c r="J109" s="1">
        <f>+M109/F109</f>
        <v>0</v>
      </c>
      <c r="K109" s="3">
        <f>+J109*F109</f>
        <v>0</v>
      </c>
    </row>
    <row r="110" spans="1:11" x14ac:dyDescent="0.55000000000000004">
      <c r="A110" s="15"/>
      <c r="H110" s="3"/>
      <c r="I110" s="3"/>
      <c r="K110" s="3"/>
    </row>
    <row r="111" spans="1:11" x14ac:dyDescent="0.55000000000000004">
      <c r="A111" s="15"/>
      <c r="B111" t="s">
        <v>361</v>
      </c>
      <c r="G111" s="1">
        <v>50</v>
      </c>
      <c r="I111" s="3">
        <v>189300</v>
      </c>
      <c r="J111" s="1">
        <v>12515.31</v>
      </c>
      <c r="K111" s="3">
        <f>+J111</f>
        <v>12515.31</v>
      </c>
    </row>
    <row r="112" spans="1:11" x14ac:dyDescent="0.55000000000000004">
      <c r="A112" s="15"/>
      <c r="I112" s="3"/>
      <c r="K112" s="3"/>
    </row>
    <row r="113" spans="1:26" x14ac:dyDescent="0.55000000000000004">
      <c r="A113" s="15"/>
      <c r="I113" s="19">
        <f>+SUM(I100:I111)</f>
        <v>6176899.9999999981</v>
      </c>
      <c r="J113" t="s">
        <v>747</v>
      </c>
      <c r="K113" s="3"/>
    </row>
    <row r="114" spans="1:26" x14ac:dyDescent="0.55000000000000004">
      <c r="A114" s="15"/>
      <c r="I114" s="4"/>
      <c r="K114" s="3"/>
    </row>
    <row r="115" spans="1:26" x14ac:dyDescent="0.55000000000000004">
      <c r="A115" s="15"/>
      <c r="B115" t="s">
        <v>247</v>
      </c>
      <c r="I115" s="23"/>
      <c r="K115" s="3"/>
    </row>
    <row r="116" spans="1:26" x14ac:dyDescent="0.55000000000000004">
      <c r="A116" s="15"/>
      <c r="C116" t="s">
        <v>154</v>
      </c>
      <c r="D116" t="s">
        <v>248</v>
      </c>
      <c r="E116" t="s">
        <v>154</v>
      </c>
      <c r="F116" t="s">
        <v>155</v>
      </c>
      <c r="G116" t="s">
        <v>247</v>
      </c>
      <c r="K116" s="3"/>
    </row>
    <row r="117" spans="1:26" x14ac:dyDescent="0.55000000000000004">
      <c r="A117" s="15"/>
      <c r="C117" s="58">
        <f>+E93</f>
        <v>11.37</v>
      </c>
      <c r="D117" s="132">
        <f>+D80</f>
        <v>610510.28776863357</v>
      </c>
      <c r="E117" s="3">
        <f>+C117*D117*0.3025</f>
        <v>2099804.3465086324</v>
      </c>
      <c r="F117" s="3">
        <f>+E117*0.3</f>
        <v>629941.30395258975</v>
      </c>
      <c r="G117" s="19">
        <f>+E117+F117</f>
        <v>2729745.650461222</v>
      </c>
    </row>
    <row r="118" spans="1:26" x14ac:dyDescent="0.55000000000000004">
      <c r="A118" s="15"/>
    </row>
    <row r="119" spans="1:26" x14ac:dyDescent="0.55000000000000004">
      <c r="A119" s="15"/>
      <c r="B119" t="s">
        <v>159</v>
      </c>
    </row>
    <row r="120" spans="1:26" x14ac:dyDescent="0.55000000000000004">
      <c r="A120" s="15"/>
      <c r="C120" t="s">
        <v>251</v>
      </c>
      <c r="D120" t="s">
        <v>247</v>
      </c>
      <c r="E120" t="s">
        <v>34</v>
      </c>
      <c r="F120" t="s">
        <v>159</v>
      </c>
    </row>
    <row r="121" spans="1:26" x14ac:dyDescent="0.55000000000000004">
      <c r="A121" s="15"/>
      <c r="C121" s="30">
        <f>+I113</f>
        <v>6176899.9999999981</v>
      </c>
      <c r="D121" s="4">
        <f>+G117</f>
        <v>2729745.650461222</v>
      </c>
      <c r="E121" s="57">
        <f>+K75</f>
        <v>3612300</v>
      </c>
      <c r="F121" s="13">
        <f>+(C121-D121)/E121</f>
        <v>0.95428240997114755</v>
      </c>
    </row>
    <row r="122" spans="1:26" x14ac:dyDescent="0.55000000000000004">
      <c r="A122" s="15"/>
    </row>
    <row r="123" spans="1:26" s="14" customFormat="1" x14ac:dyDescent="0.55000000000000004"/>
    <row r="127" spans="1:26" x14ac:dyDescent="0.55000000000000004">
      <c r="Z127" s="1" t="s">
        <v>264</v>
      </c>
    </row>
    <row r="128" spans="1:26" x14ac:dyDescent="0.55000000000000004">
      <c r="Z128" t="s">
        <v>266</v>
      </c>
    </row>
    <row r="129" spans="2:30" x14ac:dyDescent="0.55000000000000004">
      <c r="O129" s="1" t="s">
        <v>264</v>
      </c>
      <c r="T129" t="s">
        <v>412</v>
      </c>
      <c r="Z129" t="s">
        <v>268</v>
      </c>
      <c r="AA129" t="s">
        <v>755</v>
      </c>
    </row>
    <row r="130" spans="2:30" x14ac:dyDescent="0.55000000000000004">
      <c r="T130" t="s">
        <v>268</v>
      </c>
    </row>
    <row r="131" spans="2:30" x14ac:dyDescent="0.55000000000000004">
      <c r="B131" t="s">
        <v>240</v>
      </c>
      <c r="O131" s="47" t="s">
        <v>413</v>
      </c>
      <c r="T131" s="31">
        <v>46118</v>
      </c>
    </row>
    <row r="132" spans="2:30" ht="28.3" x14ac:dyDescent="0.55000000000000004">
      <c r="B132" s="47" t="s">
        <v>383</v>
      </c>
      <c r="C132" s="47"/>
      <c r="D132" s="47" t="s">
        <v>384</v>
      </c>
      <c r="E132" s="47" t="s">
        <v>385</v>
      </c>
      <c r="F132" s="47" t="s">
        <v>386</v>
      </c>
      <c r="G132" s="47" t="s">
        <v>387</v>
      </c>
      <c r="H132" s="47" t="s">
        <v>37</v>
      </c>
      <c r="I132" s="47" t="s">
        <v>388</v>
      </c>
      <c r="J132" s="47" t="s">
        <v>389</v>
      </c>
      <c r="M132" s="47" t="s">
        <v>414</v>
      </c>
      <c r="O132">
        <f>+D101</f>
        <v>84.9</v>
      </c>
      <c r="Q132" t="s">
        <v>267</v>
      </c>
      <c r="S132" t="s">
        <v>271</v>
      </c>
      <c r="T132" t="s">
        <v>268</v>
      </c>
      <c r="V132" t="s">
        <v>272</v>
      </c>
      <c r="X132" t="s">
        <v>273</v>
      </c>
      <c r="Y132" t="s">
        <v>274</v>
      </c>
      <c r="Z132" t="s">
        <v>275</v>
      </c>
      <c r="AA132" t="s">
        <v>276</v>
      </c>
      <c r="AB132" t="s">
        <v>250</v>
      </c>
      <c r="AC132" t="s">
        <v>277</v>
      </c>
      <c r="AD132" t="s">
        <v>278</v>
      </c>
    </row>
    <row r="133" spans="2:30" x14ac:dyDescent="0.55000000000000004">
      <c r="B133" t="s">
        <v>382</v>
      </c>
      <c r="D133" s="8">
        <v>60.96</v>
      </c>
      <c r="E133" s="1"/>
      <c r="F133" s="1"/>
      <c r="G133" s="1"/>
      <c r="H133" s="1">
        <v>216</v>
      </c>
      <c r="I133" s="1"/>
      <c r="J133" s="1">
        <v>1555.9</v>
      </c>
      <c r="M133">
        <f>+J133*$F$121</f>
        <v>1484.7680016741085</v>
      </c>
      <c r="O133" s="4">
        <f>+H101</f>
        <v>1989.4096828046745</v>
      </c>
      <c r="Q133" s="4">
        <f>+$O$133-M133</f>
        <v>504.64168113056598</v>
      </c>
      <c r="T133">
        <v>2450</v>
      </c>
      <c r="V133" s="4">
        <f>+T133+Q133</f>
        <v>2954.6416811305662</v>
      </c>
      <c r="X133" s="4">
        <f>+$AD$133-V133</f>
        <v>1248.7944731436519</v>
      </c>
      <c r="Y133" s="12">
        <f>+X133/V133</f>
        <v>0.42265513314826464</v>
      </c>
      <c r="Z133">
        <v>3943</v>
      </c>
      <c r="AA133">
        <v>117</v>
      </c>
      <c r="AB133">
        <f>+Z133/(AA133*0.3025)</f>
        <v>111.40778413505687</v>
      </c>
      <c r="AC133">
        <f>+AB133*1.1</f>
        <v>122.54856254856257</v>
      </c>
      <c r="AD133" s="3">
        <f>+AC133*E101*0.3025</f>
        <v>4203.4361542742181</v>
      </c>
    </row>
    <row r="134" spans="2:30" x14ac:dyDescent="0.55000000000000004">
      <c r="D134" s="1">
        <v>79.239999999999995</v>
      </c>
      <c r="E134" s="1"/>
      <c r="F134" s="1"/>
      <c r="G134" s="1"/>
      <c r="H134" s="1">
        <v>672</v>
      </c>
      <c r="I134" s="1"/>
      <c r="J134" s="1">
        <v>1852.04</v>
      </c>
      <c r="M134">
        <f>+J134*$F$121</f>
        <v>1767.3691945629641</v>
      </c>
      <c r="Q134" s="4">
        <f>+$O$133-M134</f>
        <v>222.04048824171036</v>
      </c>
      <c r="T134">
        <v>2700</v>
      </c>
      <c r="V134" s="4">
        <f>+T134+Q134</f>
        <v>2922.0404882417106</v>
      </c>
      <c r="X134" s="4">
        <f>+$AD$133-V134</f>
        <v>1281.3956660325075</v>
      </c>
    </row>
    <row r="135" spans="2:30" x14ac:dyDescent="0.55000000000000004">
      <c r="D135" s="1">
        <v>118.12</v>
      </c>
      <c r="E135" s="1"/>
      <c r="F135" s="1"/>
      <c r="G135" s="1"/>
      <c r="H135" s="1">
        <v>360</v>
      </c>
      <c r="I135" s="1"/>
      <c r="J135" s="1">
        <v>2387.08</v>
      </c>
      <c r="M135">
        <f>+J135*$F$121</f>
        <v>2277.9484551939267</v>
      </c>
      <c r="Q135" s="4">
        <f>+$O$133-M135</f>
        <v>-288.53877238925224</v>
      </c>
      <c r="T135">
        <v>3575</v>
      </c>
      <c r="V135" s="4">
        <f>+T135+Q135</f>
        <v>3286.4612276107478</v>
      </c>
      <c r="X135" s="4">
        <f>+$AD$133-V135</f>
        <v>916.97492666347034</v>
      </c>
    </row>
    <row r="136" spans="2:30" x14ac:dyDescent="0.55000000000000004">
      <c r="D136" s="1">
        <v>156.99</v>
      </c>
      <c r="E136" s="1"/>
      <c r="F136" s="1"/>
      <c r="G136" s="1"/>
      <c r="H136" s="1">
        <v>336</v>
      </c>
      <c r="I136" s="1"/>
      <c r="J136" s="1">
        <v>2964.5</v>
      </c>
      <c r="M136">
        <f>+J136*$F$121</f>
        <v>2828.9702043594671</v>
      </c>
      <c r="Q136" s="4">
        <f>+$O$133-M136</f>
        <v>-839.56052155479256</v>
      </c>
      <c r="T136">
        <v>4175</v>
      </c>
      <c r="V136" s="4">
        <f>+T136+Q136</f>
        <v>3335.4394784452074</v>
      </c>
      <c r="X136" s="4">
        <f>+$AD$133-V136</f>
        <v>867.99667582901066</v>
      </c>
    </row>
    <row r="137" spans="2:30" x14ac:dyDescent="0.55000000000000004">
      <c r="Q137" s="4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123D-A472-4CD0-BC3F-919F07A041EF}">
  <dimension ref="A1:AD159"/>
  <sheetViews>
    <sheetView topLeftCell="S144" workbookViewId="0">
      <selection activeCell="AA171" sqref="AA171"/>
    </sheetView>
  </sheetViews>
  <sheetFormatPr defaultRowHeight="17.600000000000001" x14ac:dyDescent="0.55000000000000004"/>
  <cols>
    <col min="3" max="3" width="13.2109375" bestFit="1" customWidth="1"/>
    <col min="4" max="4" width="10.640625" bestFit="1" customWidth="1"/>
    <col min="5" max="5" width="11.7109375" bestFit="1" customWidth="1"/>
    <col min="6" max="7" width="10.640625" bestFit="1" customWidth="1"/>
    <col min="9" max="9" width="11.7109375" bestFit="1" customWidth="1"/>
    <col min="11" max="11" width="11.7109375" bestFit="1" customWidth="1"/>
    <col min="12" max="12" width="9.140625" style="14"/>
    <col min="14" max="14" width="10.78515625" bestFit="1" customWidth="1"/>
    <col min="20" max="20" width="11.5" customWidth="1"/>
  </cols>
  <sheetData>
    <row r="1" spans="1:16" s="14" customFormat="1" x14ac:dyDescent="0.55000000000000004">
      <c r="L1" s="14" t="s">
        <v>160</v>
      </c>
    </row>
    <row r="3" spans="1:16" x14ac:dyDescent="0.55000000000000004">
      <c r="A3" t="s">
        <v>35</v>
      </c>
    </row>
    <row r="4" spans="1:16" x14ac:dyDescent="0.55000000000000004">
      <c r="N4" t="s">
        <v>764</v>
      </c>
      <c r="O4">
        <v>1133259</v>
      </c>
      <c r="P4" t="s">
        <v>765</v>
      </c>
    </row>
    <row r="5" spans="1:16" x14ac:dyDescent="0.55000000000000004">
      <c r="A5" t="s">
        <v>159</v>
      </c>
      <c r="N5" t="s">
        <v>766</v>
      </c>
      <c r="O5">
        <v>1149691</v>
      </c>
    </row>
    <row r="6" spans="1:16" x14ac:dyDescent="0.55000000000000004">
      <c r="E6" t="s">
        <v>161</v>
      </c>
      <c r="F6" t="s">
        <v>162</v>
      </c>
    </row>
    <row r="7" spans="1:16" x14ac:dyDescent="0.55000000000000004">
      <c r="B7" t="s">
        <v>164</v>
      </c>
      <c r="E7" s="9">
        <v>17327100</v>
      </c>
      <c r="F7" t="s">
        <v>767</v>
      </c>
      <c r="L7" s="14" t="s">
        <v>767</v>
      </c>
      <c r="N7" s="31">
        <v>46080</v>
      </c>
      <c r="O7" t="s">
        <v>768</v>
      </c>
    </row>
    <row r="8" spans="1:16" x14ac:dyDescent="0.55000000000000004">
      <c r="B8" t="s">
        <v>166</v>
      </c>
      <c r="E8" s="9">
        <v>6463800</v>
      </c>
      <c r="F8" t="s">
        <v>767</v>
      </c>
      <c r="L8" s="14" t="s">
        <v>767</v>
      </c>
    </row>
    <row r="9" spans="1:16" x14ac:dyDescent="0.55000000000000004">
      <c r="B9" t="s">
        <v>167</v>
      </c>
      <c r="E9" s="9">
        <v>11536300</v>
      </c>
      <c r="F9" t="s">
        <v>767</v>
      </c>
      <c r="L9" s="14" t="s">
        <v>767</v>
      </c>
    </row>
    <row r="10" spans="1:16" x14ac:dyDescent="0.55000000000000004">
      <c r="B10" t="s">
        <v>159</v>
      </c>
      <c r="E10" s="13">
        <f>+(E7-E8)/E9</f>
        <v>0.94166240475715779</v>
      </c>
      <c r="L10" s="14" t="s">
        <v>767</v>
      </c>
    </row>
    <row r="12" spans="1:16" x14ac:dyDescent="0.55000000000000004">
      <c r="A12" t="s">
        <v>169</v>
      </c>
    </row>
    <row r="13" spans="1:16" x14ac:dyDescent="0.55000000000000004">
      <c r="E13" t="s">
        <v>170</v>
      </c>
      <c r="F13" t="s">
        <v>171</v>
      </c>
      <c r="G13" t="s">
        <v>163</v>
      </c>
    </row>
    <row r="14" spans="1:16" x14ac:dyDescent="0.55000000000000004">
      <c r="B14" t="s">
        <v>172</v>
      </c>
      <c r="E14" s="1">
        <v>222152.3</v>
      </c>
      <c r="F14" t="s">
        <v>769</v>
      </c>
    </row>
    <row r="16" spans="1:16" x14ac:dyDescent="0.55000000000000004">
      <c r="B16" t="s">
        <v>176</v>
      </c>
    </row>
    <row r="17" spans="1:9" x14ac:dyDescent="0.55000000000000004">
      <c r="B17" t="s">
        <v>177</v>
      </c>
      <c r="E17" s="3">
        <f>+E14*G17</f>
        <v>736257.15266000002</v>
      </c>
      <c r="G17" s="2">
        <v>3.3142</v>
      </c>
      <c r="H17" t="s">
        <v>179</v>
      </c>
      <c r="I17" t="s">
        <v>770</v>
      </c>
    </row>
    <row r="18" spans="1:9" x14ac:dyDescent="0.55000000000000004">
      <c r="B18" t="s">
        <v>181</v>
      </c>
      <c r="E18" s="3">
        <f>+E19-E17</f>
        <v>719429.90734000003</v>
      </c>
      <c r="G18" t="s">
        <v>11</v>
      </c>
      <c r="H18">
        <f>+E18/E25/40</f>
        <v>3.0520528904632616</v>
      </c>
    </row>
    <row r="19" spans="1:9" x14ac:dyDescent="0.55000000000000004">
      <c r="B19" t="s">
        <v>184</v>
      </c>
      <c r="E19" s="130">
        <v>1455687.06</v>
      </c>
      <c r="F19" t="s">
        <v>770</v>
      </c>
    </row>
    <row r="21" spans="1:9" s="14" customFormat="1" x14ac:dyDescent="0.55000000000000004"/>
    <row r="23" spans="1:9" x14ac:dyDescent="0.55000000000000004">
      <c r="A23" t="s">
        <v>186</v>
      </c>
      <c r="B23" t="s">
        <v>38</v>
      </c>
    </row>
    <row r="24" spans="1:9" x14ac:dyDescent="0.55000000000000004">
      <c r="E24" t="s">
        <v>170</v>
      </c>
      <c r="F24" t="s">
        <v>171</v>
      </c>
      <c r="G24" t="s">
        <v>163</v>
      </c>
    </row>
    <row r="25" spans="1:9" x14ac:dyDescent="0.55000000000000004">
      <c r="B25" t="s">
        <v>187</v>
      </c>
      <c r="E25" s="1">
        <v>5893</v>
      </c>
      <c r="F25" t="s">
        <v>771</v>
      </c>
    </row>
    <row r="26" spans="1:9" x14ac:dyDescent="0.55000000000000004">
      <c r="B26" t="s">
        <v>188</v>
      </c>
      <c r="E26" s="1">
        <f>813+96</f>
        <v>909</v>
      </c>
      <c r="F26" t="s">
        <v>771</v>
      </c>
    </row>
    <row r="27" spans="1:9" x14ac:dyDescent="0.55000000000000004">
      <c r="B27" t="s">
        <v>772</v>
      </c>
      <c r="E27" s="1">
        <f>25+170</f>
        <v>195</v>
      </c>
      <c r="F27" t="s">
        <v>771</v>
      </c>
    </row>
    <row r="28" spans="1:9" x14ac:dyDescent="0.55000000000000004">
      <c r="B28" t="s">
        <v>342</v>
      </c>
      <c r="E28" s="1">
        <f>+H88+H89</f>
        <v>4424</v>
      </c>
      <c r="F28" t="s">
        <v>771</v>
      </c>
    </row>
    <row r="29" spans="1:9" x14ac:dyDescent="0.55000000000000004">
      <c r="B29" t="s">
        <v>343</v>
      </c>
      <c r="E29" s="22">
        <f>+E25-SUM(E26:E28)</f>
        <v>365</v>
      </c>
    </row>
    <row r="31" spans="1:9" s="14" customFormat="1" x14ac:dyDescent="0.55000000000000004"/>
    <row r="33" spans="1:12" x14ac:dyDescent="0.55000000000000004">
      <c r="A33" t="s">
        <v>186</v>
      </c>
      <c r="B33" t="s">
        <v>191</v>
      </c>
    </row>
    <row r="35" spans="1:12" x14ac:dyDescent="0.55000000000000004">
      <c r="B35" t="s">
        <v>187</v>
      </c>
    </row>
    <row r="36" spans="1:12" x14ac:dyDescent="0.55000000000000004">
      <c r="C36" t="s">
        <v>230</v>
      </c>
      <c r="D36" t="s">
        <v>210</v>
      </c>
      <c r="E36" t="s">
        <v>195</v>
      </c>
      <c r="F36" t="s">
        <v>38</v>
      </c>
      <c r="G36" t="s">
        <v>348</v>
      </c>
      <c r="H36" t="s">
        <v>232</v>
      </c>
      <c r="I36" t="s">
        <v>233</v>
      </c>
      <c r="J36" t="s">
        <v>349</v>
      </c>
      <c r="K36" s="3" t="s">
        <v>350</v>
      </c>
    </row>
    <row r="37" spans="1:12" x14ac:dyDescent="0.55000000000000004">
      <c r="C37" s="1">
        <v>59</v>
      </c>
      <c r="E37" s="3">
        <v>80</v>
      </c>
      <c r="G37" s="11">
        <f>+H37/(E37*0.3025)</f>
        <v>81.487603305785129</v>
      </c>
      <c r="H37" s="1">
        <v>1972</v>
      </c>
      <c r="L37" s="14" t="s">
        <v>767</v>
      </c>
    </row>
    <row r="38" spans="1:12" x14ac:dyDescent="0.55000000000000004">
      <c r="C38" s="1">
        <v>76</v>
      </c>
      <c r="E38" s="3">
        <f t="shared" ref="E38:E44" si="0">+$E$37*C38/$C$37</f>
        <v>103.05084745762711</v>
      </c>
      <c r="G38" s="11">
        <f>+H38/(E38*0.3025)</f>
        <v>79.748803827751203</v>
      </c>
      <c r="H38" s="1">
        <v>2486</v>
      </c>
      <c r="L38" s="14" t="s">
        <v>767</v>
      </c>
    </row>
    <row r="39" spans="1:12" x14ac:dyDescent="0.55000000000000004">
      <c r="C39" s="1">
        <v>84</v>
      </c>
      <c r="E39" s="3">
        <f t="shared" si="0"/>
        <v>113.89830508474576</v>
      </c>
      <c r="G39" s="11">
        <f t="shared" ref="G39:G44" si="1">+H39/(E39*0.3025)</f>
        <v>79.148465171192456</v>
      </c>
      <c r="H39" s="1">
        <v>2727</v>
      </c>
      <c r="L39" s="14" t="s">
        <v>767</v>
      </c>
    </row>
    <row r="40" spans="1:12" x14ac:dyDescent="0.55000000000000004">
      <c r="C40" s="1">
        <v>96</v>
      </c>
      <c r="E40" s="3">
        <f t="shared" si="0"/>
        <v>130.16949152542372</v>
      </c>
      <c r="G40" s="11">
        <f t="shared" si="1"/>
        <v>78.727617079889811</v>
      </c>
      <c r="H40" s="1">
        <v>3100</v>
      </c>
      <c r="L40" s="14" t="s">
        <v>767</v>
      </c>
    </row>
    <row r="41" spans="1:12" x14ac:dyDescent="0.55000000000000004">
      <c r="C41" s="1">
        <v>109</v>
      </c>
      <c r="E41" s="3">
        <f t="shared" si="0"/>
        <v>147.79661016949152</v>
      </c>
      <c r="G41" s="11">
        <f t="shared" si="1"/>
        <v>77.88232618090835</v>
      </c>
      <c r="H41" s="1">
        <v>3482</v>
      </c>
      <c r="L41" s="14" t="s">
        <v>767</v>
      </c>
    </row>
    <row r="42" spans="1:12" x14ac:dyDescent="0.55000000000000004">
      <c r="C42" s="1">
        <v>118</v>
      </c>
      <c r="E42" s="3">
        <f t="shared" si="0"/>
        <v>160</v>
      </c>
      <c r="G42" s="11">
        <f t="shared" si="1"/>
        <v>77.892561983471083</v>
      </c>
      <c r="H42" s="1">
        <v>3770</v>
      </c>
      <c r="L42" s="14" t="s">
        <v>767</v>
      </c>
    </row>
    <row r="43" spans="1:12" x14ac:dyDescent="0.55000000000000004">
      <c r="C43" s="1">
        <v>128</v>
      </c>
      <c r="E43" s="3">
        <f t="shared" si="0"/>
        <v>173.5593220338983</v>
      </c>
      <c r="G43" s="11">
        <f t="shared" si="1"/>
        <v>77.083225723140501</v>
      </c>
      <c r="H43" s="1">
        <v>4047</v>
      </c>
      <c r="L43" s="14" t="s">
        <v>767</v>
      </c>
    </row>
    <row r="44" spans="1:12" x14ac:dyDescent="0.55000000000000004">
      <c r="C44" s="1">
        <v>143</v>
      </c>
      <c r="E44" s="3">
        <f t="shared" si="0"/>
        <v>193.89830508474577</v>
      </c>
      <c r="G44" s="11">
        <f t="shared" si="1"/>
        <v>102.22620354851759</v>
      </c>
      <c r="H44" s="1">
        <v>5996</v>
      </c>
      <c r="L44" s="14" t="s">
        <v>767</v>
      </c>
    </row>
    <row r="45" spans="1:12" x14ac:dyDescent="0.55000000000000004">
      <c r="H45" s="1"/>
    </row>
    <row r="46" spans="1:12" x14ac:dyDescent="0.55000000000000004">
      <c r="B46" t="s">
        <v>598</v>
      </c>
      <c r="D46" s="1">
        <v>15</v>
      </c>
      <c r="H46" s="1">
        <v>424</v>
      </c>
      <c r="K46" s="1">
        <v>64477.34</v>
      </c>
      <c r="L46" s="14" t="s">
        <v>773</v>
      </c>
    </row>
    <row r="49" spans="2:12" x14ac:dyDescent="0.55000000000000004">
      <c r="B49" t="s">
        <v>191</v>
      </c>
    </row>
    <row r="51" spans="2:12" x14ac:dyDescent="0.55000000000000004">
      <c r="B51" t="s">
        <v>187</v>
      </c>
    </row>
    <row r="52" spans="2:12" x14ac:dyDescent="0.55000000000000004">
      <c r="C52" t="s">
        <v>230</v>
      </c>
      <c r="D52" t="s">
        <v>210</v>
      </c>
      <c r="E52" t="s">
        <v>195</v>
      </c>
      <c r="F52" t="s">
        <v>38</v>
      </c>
      <c r="G52" t="s">
        <v>348</v>
      </c>
      <c r="H52" t="s">
        <v>232</v>
      </c>
      <c r="I52" t="s">
        <v>233</v>
      </c>
      <c r="J52" t="s">
        <v>349</v>
      </c>
      <c r="K52" s="3" t="s">
        <v>350</v>
      </c>
    </row>
    <row r="53" spans="2:12" x14ac:dyDescent="0.55000000000000004">
      <c r="B53" t="s">
        <v>774</v>
      </c>
      <c r="C53" t="s">
        <v>192</v>
      </c>
      <c r="D53">
        <v>59.9</v>
      </c>
      <c r="E53" s="1">
        <v>82.164000000000001</v>
      </c>
      <c r="F53" s="1">
        <v>813</v>
      </c>
      <c r="G53">
        <v>6</v>
      </c>
      <c r="H53" s="3">
        <f>+G53*E53*0.3025</f>
        <v>149.12766000000002</v>
      </c>
      <c r="I53" s="3">
        <f>+H53*F53</f>
        <v>121240.78758000002</v>
      </c>
    </row>
    <row r="54" spans="2:12" x14ac:dyDescent="0.55000000000000004">
      <c r="C54" t="s">
        <v>775</v>
      </c>
      <c r="D54">
        <v>84.9</v>
      </c>
      <c r="E54" s="1">
        <v>115.91800000000001</v>
      </c>
      <c r="F54" s="1">
        <v>96</v>
      </c>
      <c r="G54">
        <v>6</v>
      </c>
      <c r="H54" s="3">
        <f>+G54*E54*0.3025</f>
        <v>210.39117000000002</v>
      </c>
      <c r="I54" s="3">
        <f>+H54*F54</f>
        <v>20197.552320000003</v>
      </c>
    </row>
    <row r="55" spans="2:12" x14ac:dyDescent="0.55000000000000004">
      <c r="F55" s="1"/>
      <c r="H55" s="3"/>
      <c r="I55" s="3"/>
    </row>
    <row r="56" spans="2:12" x14ac:dyDescent="0.55000000000000004">
      <c r="B56" t="s">
        <v>772</v>
      </c>
      <c r="C56" t="s">
        <v>192</v>
      </c>
      <c r="D56">
        <v>59.9</v>
      </c>
      <c r="E56" s="1">
        <v>82.164000000000001</v>
      </c>
      <c r="F56" s="1">
        <v>25</v>
      </c>
      <c r="G56">
        <v>6</v>
      </c>
      <c r="H56" s="3">
        <f>+G56*E56*0.3025</f>
        <v>149.12766000000002</v>
      </c>
      <c r="I56" s="3">
        <f>+H56*F56</f>
        <v>3728.1915000000004</v>
      </c>
    </row>
    <row r="57" spans="2:12" x14ac:dyDescent="0.55000000000000004">
      <c r="C57" t="s">
        <v>775</v>
      </c>
      <c r="D57">
        <v>84.9</v>
      </c>
      <c r="E57" s="1">
        <v>115.91800000000001</v>
      </c>
      <c r="F57" s="1">
        <v>170</v>
      </c>
      <c r="G57">
        <v>6</v>
      </c>
      <c r="H57" s="3">
        <f>+G57*E57*0.3025</f>
        <v>210.39117000000002</v>
      </c>
      <c r="I57" s="3">
        <f>+H57*F57</f>
        <v>35766.498900000006</v>
      </c>
    </row>
    <row r="58" spans="2:12" x14ac:dyDescent="0.55000000000000004">
      <c r="F58" s="1"/>
      <c r="H58" s="3"/>
      <c r="I58" s="3"/>
    </row>
    <row r="59" spans="2:12" x14ac:dyDescent="0.55000000000000004">
      <c r="B59" t="s">
        <v>196</v>
      </c>
      <c r="C59" t="s">
        <v>192</v>
      </c>
      <c r="D59">
        <v>59.9</v>
      </c>
      <c r="E59" s="1">
        <v>82.164000000000001</v>
      </c>
      <c r="F59" s="1"/>
      <c r="H59" s="3"/>
      <c r="I59" s="3"/>
      <c r="L59" s="14" t="s">
        <v>767</v>
      </c>
    </row>
    <row r="60" spans="2:12" x14ac:dyDescent="0.55000000000000004">
      <c r="C60" t="s">
        <v>775</v>
      </c>
      <c r="D60">
        <v>84.9</v>
      </c>
      <c r="E60" s="1">
        <v>115.91800000000001</v>
      </c>
      <c r="F60" s="1">
        <f>+H90-F61</f>
        <v>2516</v>
      </c>
      <c r="G60">
        <f>+G64*0.98</f>
        <v>78.400000000000006</v>
      </c>
      <c r="H60" s="3">
        <f>+G60*E60*0.3025</f>
        <v>2749.1112880000005</v>
      </c>
      <c r="I60" s="3">
        <f>+H60*F60</f>
        <v>6916764.0006080009</v>
      </c>
      <c r="L60" s="14" t="s">
        <v>767</v>
      </c>
    </row>
    <row r="61" spans="2:12" x14ac:dyDescent="0.55000000000000004">
      <c r="C61" t="s">
        <v>194</v>
      </c>
      <c r="D61">
        <f>+D60*E61/E60</f>
        <v>130.86438380521278</v>
      </c>
      <c r="E61">
        <f>+H61/G61/0.3025</f>
        <v>178.67535502865317</v>
      </c>
      <c r="F61" s="1">
        <v>1908</v>
      </c>
      <c r="G61">
        <f>+G60</f>
        <v>78.400000000000006</v>
      </c>
      <c r="H61" s="3">
        <f>+I61/F61</f>
        <v>4237.4647198595385</v>
      </c>
      <c r="I61" s="3">
        <f>+I72</f>
        <v>8085082.6854919996</v>
      </c>
      <c r="L61" s="14" t="s">
        <v>776</v>
      </c>
    </row>
    <row r="62" spans="2:12" x14ac:dyDescent="0.55000000000000004">
      <c r="F62" s="1"/>
      <c r="H62" s="3"/>
      <c r="I62" s="3"/>
    </row>
    <row r="63" spans="2:12" x14ac:dyDescent="0.55000000000000004">
      <c r="B63" t="s">
        <v>198</v>
      </c>
      <c r="C63" t="s">
        <v>192</v>
      </c>
      <c r="D63">
        <v>59.9</v>
      </c>
      <c r="E63" s="1">
        <v>82.164000000000001</v>
      </c>
      <c r="F63" s="1">
        <f>1116-F53-F56</f>
        <v>278</v>
      </c>
      <c r="G63" s="1">
        <v>80</v>
      </c>
      <c r="H63" s="3">
        <f>+G63*E63*0.3025</f>
        <v>1988.3688</v>
      </c>
      <c r="I63" s="3">
        <f>+H63*F63</f>
        <v>552766.52639999997</v>
      </c>
      <c r="L63" s="14" t="s">
        <v>767</v>
      </c>
    </row>
    <row r="64" spans="2:12" x14ac:dyDescent="0.55000000000000004">
      <c r="C64" t="s">
        <v>775</v>
      </c>
      <c r="D64">
        <v>84.9</v>
      </c>
      <c r="E64" s="1">
        <v>115.91800000000001</v>
      </c>
      <c r="F64" s="1">
        <f>2869-F54-F57-F60</f>
        <v>87</v>
      </c>
      <c r="G64" s="1">
        <v>80</v>
      </c>
      <c r="H64" s="3">
        <f>+G64*E64*0.3025</f>
        <v>2805.2156</v>
      </c>
      <c r="I64" s="3">
        <f>+H64*F64</f>
        <v>244053.75719999999</v>
      </c>
      <c r="L64" s="14" t="s">
        <v>767</v>
      </c>
    </row>
    <row r="65" spans="2:13" x14ac:dyDescent="0.55000000000000004">
      <c r="C65" t="s">
        <v>194</v>
      </c>
      <c r="F65" s="1">
        <v>0</v>
      </c>
      <c r="I65" s="3"/>
      <c r="L65" s="14" t="s">
        <v>767</v>
      </c>
    </row>
    <row r="66" spans="2:13" x14ac:dyDescent="0.55000000000000004">
      <c r="F66" s="1"/>
      <c r="I66" s="3"/>
    </row>
    <row r="67" spans="2:13" x14ac:dyDescent="0.55000000000000004">
      <c r="F67" s="1">
        <f>+SUM(F53:F65)</f>
        <v>5893</v>
      </c>
      <c r="I67" s="3"/>
      <c r="L67" s="14" t="s">
        <v>739</v>
      </c>
    </row>
    <row r="68" spans="2:13" x14ac:dyDescent="0.55000000000000004">
      <c r="F68" s="1"/>
      <c r="I68" s="3"/>
    </row>
    <row r="69" spans="2:13" x14ac:dyDescent="0.55000000000000004">
      <c r="B69" t="s">
        <v>598</v>
      </c>
      <c r="C69" t="s">
        <v>777</v>
      </c>
      <c r="D69" s="1">
        <v>15</v>
      </c>
      <c r="H69" s="1">
        <v>424</v>
      </c>
      <c r="L69" s="14" t="s">
        <v>778</v>
      </c>
    </row>
    <row r="70" spans="2:13" x14ac:dyDescent="0.55000000000000004">
      <c r="C70" t="s">
        <v>779</v>
      </c>
      <c r="D70" s="1"/>
      <c r="E70" s="1">
        <v>30</v>
      </c>
      <c r="F70" s="1"/>
      <c r="G70" s="1"/>
      <c r="H70" s="1">
        <v>627</v>
      </c>
      <c r="I70" s="9">
        <v>1347500</v>
      </c>
      <c r="K70" s="1">
        <v>64477.34</v>
      </c>
    </row>
    <row r="71" spans="2:13" x14ac:dyDescent="0.55000000000000004">
      <c r="F71" s="1"/>
      <c r="I71" s="3">
        <f>+I53+I54+I56+I57+I60+I63+I64+I70</f>
        <v>9242017.3145080004</v>
      </c>
      <c r="L71" s="14" t="s">
        <v>780</v>
      </c>
    </row>
    <row r="72" spans="2:13" x14ac:dyDescent="0.55000000000000004">
      <c r="F72" s="1"/>
      <c r="I72" s="4">
        <f>+I73-I71</f>
        <v>8085082.6854919996</v>
      </c>
      <c r="L72" s="14" t="s">
        <v>781</v>
      </c>
    </row>
    <row r="73" spans="2:13" x14ac:dyDescent="0.55000000000000004">
      <c r="F73" s="1"/>
      <c r="I73" s="23">
        <f>+E7</f>
        <v>17327100</v>
      </c>
      <c r="L73" s="14" t="s">
        <v>184</v>
      </c>
    </row>
    <row r="74" spans="2:13" x14ac:dyDescent="0.55000000000000004">
      <c r="F74" s="1"/>
    </row>
    <row r="75" spans="2:13" x14ac:dyDescent="0.55000000000000004">
      <c r="B75" s="15" t="s">
        <v>187</v>
      </c>
      <c r="C75" s="15" t="s">
        <v>782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2:13" x14ac:dyDescent="0.55000000000000004">
      <c r="B76" s="15"/>
      <c r="C76" s="15" t="s">
        <v>230</v>
      </c>
      <c r="D76" s="15" t="s">
        <v>210</v>
      </c>
      <c r="E76" s="15" t="s">
        <v>195</v>
      </c>
      <c r="F76" s="15" t="s">
        <v>38</v>
      </c>
      <c r="G76" s="15" t="s">
        <v>348</v>
      </c>
      <c r="H76" s="15" t="s">
        <v>232</v>
      </c>
      <c r="I76" s="15" t="s">
        <v>233</v>
      </c>
      <c r="J76" s="15" t="s">
        <v>349</v>
      </c>
      <c r="K76" s="133" t="s">
        <v>350</v>
      </c>
      <c r="L76" s="15"/>
      <c r="M76" s="15"/>
    </row>
    <row r="77" spans="2:13" x14ac:dyDescent="0.55000000000000004">
      <c r="B77" s="15" t="s">
        <v>774</v>
      </c>
      <c r="C77" s="15" t="s">
        <v>192</v>
      </c>
      <c r="D77" s="15">
        <v>59</v>
      </c>
      <c r="E77" s="134">
        <v>82.164000000000001</v>
      </c>
      <c r="F77" s="134">
        <v>676</v>
      </c>
      <c r="G77" s="15"/>
      <c r="H77" s="15"/>
      <c r="I77" s="15"/>
      <c r="J77" s="15">
        <f>+K77/F77</f>
        <v>82.164378698224851</v>
      </c>
      <c r="K77" s="15">
        <v>55543.12</v>
      </c>
      <c r="L77" s="15" t="s">
        <v>783</v>
      </c>
      <c r="M77" s="15" t="s">
        <v>739</v>
      </c>
    </row>
    <row r="78" spans="2:13" x14ac:dyDescent="0.55000000000000004">
      <c r="B78" s="15"/>
      <c r="C78" s="15"/>
      <c r="D78" s="15">
        <v>76</v>
      </c>
      <c r="E78" s="134">
        <v>104.60299999999999</v>
      </c>
      <c r="F78" s="134">
        <v>96</v>
      </c>
      <c r="G78" s="15"/>
      <c r="H78" s="15"/>
      <c r="I78" s="15"/>
      <c r="J78" s="15">
        <f>+K78/F78</f>
        <v>104.60270833333334</v>
      </c>
      <c r="K78" s="15">
        <v>10041.86</v>
      </c>
      <c r="L78" s="15" t="s">
        <v>783</v>
      </c>
      <c r="M78" s="15" t="s">
        <v>784</v>
      </c>
    </row>
    <row r="79" spans="2:13" x14ac:dyDescent="0.55000000000000004">
      <c r="B79" s="15"/>
      <c r="C79" s="15"/>
      <c r="D79" s="15">
        <v>84</v>
      </c>
      <c r="E79" s="134">
        <v>115.91800000000001</v>
      </c>
      <c r="F79" s="134">
        <v>130</v>
      </c>
      <c r="G79" s="15"/>
      <c r="H79" s="15"/>
      <c r="I79" s="15"/>
      <c r="J79" s="15">
        <f>+K79/F79</f>
        <v>115.91784615384616</v>
      </c>
      <c r="K79" s="15">
        <v>15069.32</v>
      </c>
      <c r="L79" s="15" t="s">
        <v>783</v>
      </c>
      <c r="M79" s="15" t="s">
        <v>784</v>
      </c>
    </row>
    <row r="80" spans="2:13" x14ac:dyDescent="0.55000000000000004">
      <c r="F80" s="1"/>
    </row>
    <row r="81" spans="1:12" x14ac:dyDescent="0.55000000000000004">
      <c r="F81" s="1"/>
    </row>
    <row r="83" spans="1:12" s="14" customFormat="1" x14ac:dyDescent="0.55000000000000004">
      <c r="A83" s="14" t="s">
        <v>239</v>
      </c>
    </row>
    <row r="85" spans="1:12" x14ac:dyDescent="0.55000000000000004">
      <c r="B85" t="s">
        <v>240</v>
      </c>
    </row>
    <row r="87" spans="1:12" ht="28.3" x14ac:dyDescent="0.55000000000000004">
      <c r="B87" s="47" t="s">
        <v>383</v>
      </c>
      <c r="C87" s="47"/>
      <c r="D87" s="47" t="s">
        <v>384</v>
      </c>
      <c r="E87" s="47" t="s">
        <v>385</v>
      </c>
      <c r="F87" s="47" t="s">
        <v>386</v>
      </c>
      <c r="G87" s="47" t="s">
        <v>387</v>
      </c>
      <c r="H87" s="47" t="s">
        <v>37</v>
      </c>
      <c r="I87" s="47" t="s">
        <v>388</v>
      </c>
      <c r="J87" s="47" t="s">
        <v>389</v>
      </c>
      <c r="K87" s="3"/>
    </row>
    <row r="88" spans="1:12" x14ac:dyDescent="0.55000000000000004">
      <c r="B88" s="1" t="s">
        <v>785</v>
      </c>
      <c r="C88" s="60"/>
      <c r="D88" s="60"/>
      <c r="E88" s="60"/>
      <c r="F88" s="60"/>
      <c r="G88" s="60"/>
      <c r="H88" s="60">
        <v>2674</v>
      </c>
      <c r="I88" s="60"/>
      <c r="J88" s="60">
        <v>2400</v>
      </c>
      <c r="K88">
        <f>+J88*H88</f>
        <v>6417600</v>
      </c>
      <c r="L88" t="s">
        <v>786</v>
      </c>
    </row>
    <row r="89" spans="1:12" x14ac:dyDescent="0.55000000000000004">
      <c r="B89" s="60" t="s">
        <v>787</v>
      </c>
      <c r="C89" s="60"/>
      <c r="D89" s="60"/>
      <c r="E89" s="60"/>
      <c r="F89" s="60"/>
      <c r="G89" s="60"/>
      <c r="H89" s="60">
        <v>1750</v>
      </c>
      <c r="I89" s="60"/>
      <c r="J89" s="60">
        <v>2700</v>
      </c>
      <c r="K89">
        <f>+J89*H89</f>
        <v>4725000</v>
      </c>
      <c r="L89" t="s">
        <v>786</v>
      </c>
    </row>
    <row r="90" spans="1:12" x14ac:dyDescent="0.55000000000000004">
      <c r="H90">
        <f>+H88+H89</f>
        <v>4424</v>
      </c>
    </row>
    <row r="91" spans="1:12" x14ac:dyDescent="0.55000000000000004">
      <c r="B91" t="s">
        <v>598</v>
      </c>
    </row>
    <row r="93" spans="1:12" x14ac:dyDescent="0.55000000000000004">
      <c r="K93" s="9">
        <f>+SUM(K88:K89)</f>
        <v>11142600</v>
      </c>
      <c r="L93" s="14" t="s">
        <v>788</v>
      </c>
    </row>
    <row r="94" spans="1:12" x14ac:dyDescent="0.55000000000000004">
      <c r="K94" s="135">
        <f>+K95-K93</f>
        <v>393700</v>
      </c>
      <c r="L94" s="14" t="s">
        <v>789</v>
      </c>
    </row>
    <row r="95" spans="1:12" x14ac:dyDescent="0.55000000000000004">
      <c r="K95" s="9">
        <f>+E9</f>
        <v>11536300</v>
      </c>
      <c r="L95" s="14" t="s">
        <v>790</v>
      </c>
    </row>
    <row r="97" spans="1:7" x14ac:dyDescent="0.55000000000000004">
      <c r="B97" t="s">
        <v>247</v>
      </c>
    </row>
    <row r="98" spans="1:7" x14ac:dyDescent="0.55000000000000004">
      <c r="D98" t="s">
        <v>248</v>
      </c>
      <c r="E98" t="s">
        <v>154</v>
      </c>
      <c r="F98" t="s">
        <v>155</v>
      </c>
      <c r="G98" t="s">
        <v>247</v>
      </c>
    </row>
    <row r="99" spans="1:7" x14ac:dyDescent="0.55000000000000004">
      <c r="D99" s="131">
        <f>+E19</f>
        <v>1455687.06</v>
      </c>
      <c r="E99" s="3">
        <f>+G99/1.3</f>
        <v>4972153.846153846</v>
      </c>
      <c r="F99" s="3">
        <f>+E99*0.3</f>
        <v>1491646.1538461538</v>
      </c>
      <c r="G99" s="9">
        <f>+E8</f>
        <v>6463800</v>
      </c>
    </row>
    <row r="100" spans="1:7" x14ac:dyDescent="0.55000000000000004">
      <c r="D100" t="s">
        <v>754</v>
      </c>
      <c r="E100" t="s">
        <v>250</v>
      </c>
      <c r="F100" s="11">
        <f>+F99/E99</f>
        <v>0.3</v>
      </c>
    </row>
    <row r="101" spans="1:7" x14ac:dyDescent="0.55000000000000004">
      <c r="E101" s="39">
        <f>+E99/(D99*0.3025)</f>
        <v>11.291487484054711</v>
      </c>
    </row>
    <row r="103" spans="1:7" x14ac:dyDescent="0.55000000000000004">
      <c r="B103" t="s">
        <v>159</v>
      </c>
    </row>
    <row r="104" spans="1:7" x14ac:dyDescent="0.55000000000000004">
      <c r="C104" t="s">
        <v>251</v>
      </c>
      <c r="D104" t="s">
        <v>247</v>
      </c>
      <c r="E104" t="s">
        <v>34</v>
      </c>
      <c r="F104" t="s">
        <v>159</v>
      </c>
    </row>
    <row r="105" spans="1:7" x14ac:dyDescent="0.55000000000000004">
      <c r="C105" s="30">
        <f>+I73</f>
        <v>17327100</v>
      </c>
      <c r="D105" s="4">
        <f>+G99</f>
        <v>6463800</v>
      </c>
      <c r="E105" s="57">
        <f>+K95</f>
        <v>11536300</v>
      </c>
      <c r="F105" s="13">
        <f>+(C105-D105)/E105</f>
        <v>0.94166240475715779</v>
      </c>
    </row>
    <row r="107" spans="1:7" s="14" customFormat="1" x14ac:dyDescent="0.55000000000000004">
      <c r="A107" s="14" t="s">
        <v>254</v>
      </c>
    </row>
    <row r="108" spans="1:7" x14ac:dyDescent="0.55000000000000004">
      <c r="A108" s="5"/>
    </row>
    <row r="109" spans="1:7" x14ac:dyDescent="0.55000000000000004">
      <c r="A109" s="5"/>
      <c r="B109" t="s">
        <v>255</v>
      </c>
      <c r="E109" t="s">
        <v>256</v>
      </c>
      <c r="F109" t="s">
        <v>241</v>
      </c>
    </row>
    <row r="110" spans="1:7" x14ac:dyDescent="0.55000000000000004">
      <c r="A110" s="5"/>
      <c r="C110" t="s">
        <v>257</v>
      </c>
      <c r="E110" s="55">
        <v>78.400000000000006</v>
      </c>
      <c r="F110" t="s">
        <v>258</v>
      </c>
    </row>
    <row r="111" spans="1:7" x14ac:dyDescent="0.55000000000000004">
      <c r="A111" s="5"/>
      <c r="C111" t="s">
        <v>259</v>
      </c>
      <c r="E111" s="55">
        <v>80</v>
      </c>
      <c r="F111" t="s">
        <v>258</v>
      </c>
    </row>
    <row r="112" spans="1:7" x14ac:dyDescent="0.55000000000000004">
      <c r="A112" s="5"/>
      <c r="C112" t="s">
        <v>154</v>
      </c>
      <c r="E112" s="58">
        <v>11.29</v>
      </c>
      <c r="F112" t="s">
        <v>260</v>
      </c>
    </row>
    <row r="113" spans="1:11" x14ac:dyDescent="0.55000000000000004">
      <c r="A113" s="5"/>
    </row>
    <row r="114" spans="1:11" s="14" customFormat="1" x14ac:dyDescent="0.55000000000000004">
      <c r="A114" s="14" t="s">
        <v>261</v>
      </c>
    </row>
    <row r="115" spans="1:11" x14ac:dyDescent="0.55000000000000004">
      <c r="A115" s="5"/>
    </row>
    <row r="116" spans="1:11" x14ac:dyDescent="0.55000000000000004">
      <c r="A116" s="5"/>
      <c r="B116" t="s">
        <v>251</v>
      </c>
    </row>
    <row r="117" spans="1:11" x14ac:dyDescent="0.55000000000000004">
      <c r="A117" s="5"/>
      <c r="C117" t="s">
        <v>230</v>
      </c>
      <c r="D117" t="s">
        <v>210</v>
      </c>
      <c r="E117" t="s">
        <v>195</v>
      </c>
      <c r="F117" t="s">
        <v>38</v>
      </c>
      <c r="G117" t="s">
        <v>348</v>
      </c>
      <c r="H117" t="s">
        <v>232</v>
      </c>
      <c r="I117" t="s">
        <v>233</v>
      </c>
      <c r="J117" t="s">
        <v>349</v>
      </c>
      <c r="K117" s="3" t="s">
        <v>350</v>
      </c>
    </row>
    <row r="118" spans="1:11" x14ac:dyDescent="0.55000000000000004">
      <c r="A118" s="5"/>
      <c r="B118" t="s">
        <v>774</v>
      </c>
      <c r="C118" t="s">
        <v>192</v>
      </c>
      <c r="D118">
        <v>59.9</v>
      </c>
      <c r="E118" s="1">
        <v>82.164000000000001</v>
      </c>
      <c r="F118" s="1">
        <f>+F53</f>
        <v>813</v>
      </c>
      <c r="G118">
        <v>6</v>
      </c>
      <c r="H118" s="3">
        <f>+G118*E118*0.3025</f>
        <v>149.12766000000002</v>
      </c>
      <c r="I118" s="3">
        <f>+H118*F118</f>
        <v>121240.78758000002</v>
      </c>
    </row>
    <row r="119" spans="1:11" x14ac:dyDescent="0.55000000000000004">
      <c r="A119" s="5"/>
      <c r="C119" t="s">
        <v>775</v>
      </c>
      <c r="D119">
        <v>84.9</v>
      </c>
      <c r="E119" s="1">
        <v>115.91800000000001</v>
      </c>
      <c r="F119" s="1">
        <f>+F54</f>
        <v>96</v>
      </c>
      <c r="G119">
        <v>6</v>
      </c>
      <c r="H119" s="3">
        <f>+G119*E119*0.3025</f>
        <v>210.39117000000002</v>
      </c>
      <c r="I119" s="3">
        <f>+H119*F119</f>
        <v>20197.552320000003</v>
      </c>
    </row>
    <row r="120" spans="1:11" x14ac:dyDescent="0.55000000000000004">
      <c r="A120" s="5"/>
      <c r="F120" s="1"/>
      <c r="H120" s="3"/>
      <c r="I120" s="3"/>
    </row>
    <row r="121" spans="1:11" x14ac:dyDescent="0.55000000000000004">
      <c r="A121" s="5"/>
      <c r="B121" t="s">
        <v>772</v>
      </c>
      <c r="C121" t="s">
        <v>192</v>
      </c>
      <c r="D121">
        <v>59.9</v>
      </c>
      <c r="E121" s="1">
        <v>82.164000000000001</v>
      </c>
      <c r="F121" s="1">
        <f>+F56</f>
        <v>25</v>
      </c>
      <c r="G121">
        <v>6</v>
      </c>
      <c r="H121" s="3">
        <f>+G121*E121*0.3025</f>
        <v>149.12766000000002</v>
      </c>
      <c r="I121" s="3">
        <f>+H121*F121</f>
        <v>3728.1915000000004</v>
      </c>
    </row>
    <row r="122" spans="1:11" x14ac:dyDescent="0.55000000000000004">
      <c r="A122" s="5"/>
      <c r="C122" t="s">
        <v>775</v>
      </c>
      <c r="D122">
        <v>84.9</v>
      </c>
      <c r="E122" s="1">
        <v>115.91800000000001</v>
      </c>
      <c r="F122" s="1">
        <f>+F57</f>
        <v>170</v>
      </c>
      <c r="G122">
        <v>6</v>
      </c>
      <c r="H122" s="3">
        <f>+G122*E122*0.3025</f>
        <v>210.39117000000002</v>
      </c>
      <c r="I122" s="3">
        <f>+H122*F122</f>
        <v>35766.498900000006</v>
      </c>
    </row>
    <row r="123" spans="1:11" x14ac:dyDescent="0.55000000000000004">
      <c r="A123" s="5"/>
      <c r="F123" s="1"/>
      <c r="H123" s="3"/>
      <c r="I123" s="3"/>
    </row>
    <row r="124" spans="1:11" x14ac:dyDescent="0.55000000000000004">
      <c r="A124" s="5"/>
      <c r="B124" t="s">
        <v>196</v>
      </c>
      <c r="C124" t="s">
        <v>192</v>
      </c>
      <c r="D124">
        <v>59.9</v>
      </c>
      <c r="E124" s="1">
        <v>82.164000000000001</v>
      </c>
      <c r="F124" s="1">
        <f>+F59</f>
        <v>0</v>
      </c>
      <c r="H124" s="3"/>
      <c r="I124" s="3"/>
    </row>
    <row r="125" spans="1:11" x14ac:dyDescent="0.55000000000000004">
      <c r="A125" s="5"/>
      <c r="C125" t="s">
        <v>775</v>
      </c>
      <c r="D125">
        <v>84.9</v>
      </c>
      <c r="E125" s="1">
        <v>115.91800000000001</v>
      </c>
      <c r="F125" s="1">
        <f>+F60</f>
        <v>2516</v>
      </c>
      <c r="G125" s="30">
        <f>+E110</f>
        <v>78.400000000000006</v>
      </c>
      <c r="H125" s="3">
        <f>+G125*E125*0.3025</f>
        <v>2749.1112880000005</v>
      </c>
      <c r="I125" s="3">
        <f>+H125*F125</f>
        <v>6916764.0006080009</v>
      </c>
    </row>
    <row r="126" spans="1:11" x14ac:dyDescent="0.55000000000000004">
      <c r="A126" s="5"/>
      <c r="C126" t="s">
        <v>194</v>
      </c>
      <c r="D126">
        <f>+D61</f>
        <v>130.86438380521278</v>
      </c>
      <c r="E126">
        <f>+E61</f>
        <v>178.67535502865317</v>
      </c>
      <c r="F126" s="1">
        <f>+F61</f>
        <v>1908</v>
      </c>
      <c r="G126" s="30">
        <f>+G125</f>
        <v>78.400000000000006</v>
      </c>
      <c r="H126" s="3">
        <f>+G126*E126*0.3025</f>
        <v>4237.4647198595385</v>
      </c>
      <c r="I126" s="3">
        <f>+H126*F126</f>
        <v>8085082.6854919996</v>
      </c>
    </row>
    <row r="127" spans="1:11" x14ac:dyDescent="0.55000000000000004">
      <c r="A127" s="5"/>
      <c r="F127" s="1"/>
      <c r="H127" s="3"/>
      <c r="I127" s="3"/>
    </row>
    <row r="128" spans="1:11" x14ac:dyDescent="0.55000000000000004">
      <c r="A128" s="5"/>
      <c r="B128" t="s">
        <v>198</v>
      </c>
      <c r="C128" t="s">
        <v>192</v>
      </c>
      <c r="D128">
        <v>59.9</v>
      </c>
      <c r="E128" s="1">
        <v>82.164000000000001</v>
      </c>
      <c r="F128" s="1">
        <f>+F63</f>
        <v>278</v>
      </c>
      <c r="G128" s="68">
        <f>+E111</f>
        <v>80</v>
      </c>
      <c r="H128" s="3">
        <f>+G128*E128*0.3025</f>
        <v>1988.3688</v>
      </c>
      <c r="I128" s="3">
        <f>+H128*F128</f>
        <v>552766.52639999997</v>
      </c>
    </row>
    <row r="129" spans="1:11" x14ac:dyDescent="0.55000000000000004">
      <c r="A129" s="5"/>
      <c r="C129" t="s">
        <v>775</v>
      </c>
      <c r="D129">
        <v>84.9</v>
      </c>
      <c r="E129" s="1">
        <v>115.91800000000001</v>
      </c>
      <c r="F129" s="1">
        <f>+F64</f>
        <v>87</v>
      </c>
      <c r="G129" s="68">
        <f>+G128</f>
        <v>80</v>
      </c>
      <c r="H129" s="3">
        <f>+G129*E129*0.3025</f>
        <v>2805.2156</v>
      </c>
      <c r="I129" s="3">
        <f>+H129*F129</f>
        <v>244053.75719999999</v>
      </c>
    </row>
    <row r="130" spans="1:11" x14ac:dyDescent="0.55000000000000004">
      <c r="A130" s="5"/>
      <c r="C130" t="s">
        <v>194</v>
      </c>
      <c r="F130" s="1">
        <f>+F65</f>
        <v>0</v>
      </c>
      <c r="I130" s="3"/>
    </row>
    <row r="131" spans="1:11" x14ac:dyDescent="0.55000000000000004">
      <c r="A131" s="5"/>
      <c r="F131" s="1"/>
      <c r="I131" s="3"/>
    </row>
    <row r="132" spans="1:11" x14ac:dyDescent="0.55000000000000004">
      <c r="A132" s="5"/>
      <c r="F132" s="1">
        <f>+SUM(F118:F130)</f>
        <v>5893</v>
      </c>
      <c r="I132" s="3"/>
    </row>
    <row r="133" spans="1:11" x14ac:dyDescent="0.55000000000000004">
      <c r="A133" s="5"/>
      <c r="F133" s="1"/>
      <c r="I133" s="3"/>
    </row>
    <row r="134" spans="1:11" x14ac:dyDescent="0.55000000000000004">
      <c r="A134" s="5"/>
      <c r="B134" t="s">
        <v>598</v>
      </c>
      <c r="C134" t="s">
        <v>777</v>
      </c>
      <c r="D134" s="1">
        <v>15</v>
      </c>
      <c r="H134" s="1">
        <v>424</v>
      </c>
    </row>
    <row r="135" spans="1:11" x14ac:dyDescent="0.55000000000000004">
      <c r="A135" s="5"/>
      <c r="C135" t="s">
        <v>779</v>
      </c>
      <c r="D135" s="1"/>
      <c r="E135" s="1">
        <v>30</v>
      </c>
      <c r="F135" s="1"/>
      <c r="G135" s="1"/>
      <c r="H135" s="1">
        <v>627</v>
      </c>
      <c r="I135" s="9">
        <v>1347500</v>
      </c>
      <c r="K135" s="1">
        <v>64477.34</v>
      </c>
    </row>
    <row r="136" spans="1:11" x14ac:dyDescent="0.55000000000000004">
      <c r="A136" s="5"/>
      <c r="F136" s="1"/>
      <c r="I136" s="3"/>
    </row>
    <row r="137" spans="1:11" x14ac:dyDescent="0.55000000000000004">
      <c r="A137" s="5"/>
      <c r="F137" s="1"/>
      <c r="I137" s="4">
        <f>+SUM(I118:I135)</f>
        <v>17327100</v>
      </c>
    </row>
    <row r="138" spans="1:11" x14ac:dyDescent="0.55000000000000004">
      <c r="A138" s="5"/>
      <c r="F138" s="1"/>
      <c r="I138" s="23"/>
    </row>
    <row r="139" spans="1:11" x14ac:dyDescent="0.55000000000000004">
      <c r="A139" s="5"/>
      <c r="B139" t="s">
        <v>247</v>
      </c>
    </row>
    <row r="140" spans="1:11" x14ac:dyDescent="0.55000000000000004">
      <c r="A140" s="5"/>
      <c r="C140" t="s">
        <v>154</v>
      </c>
      <c r="D140" t="s">
        <v>248</v>
      </c>
      <c r="E140" t="s">
        <v>154</v>
      </c>
      <c r="F140" t="s">
        <v>155</v>
      </c>
      <c r="G140" t="s">
        <v>247</v>
      </c>
    </row>
    <row r="141" spans="1:11" x14ac:dyDescent="0.55000000000000004">
      <c r="A141" s="5"/>
      <c r="C141" s="58">
        <f>+E112</f>
        <v>11.29</v>
      </c>
      <c r="D141" s="132">
        <f>+E19</f>
        <v>1455687.06</v>
      </c>
      <c r="E141" s="3">
        <f>+C141*D141*0.3025</f>
        <v>4971498.8394884998</v>
      </c>
      <c r="F141" s="3">
        <f>+E141*0.3</f>
        <v>1491449.6518465499</v>
      </c>
      <c r="G141" s="19">
        <f>+E141+F141</f>
        <v>6462948.4913350493</v>
      </c>
    </row>
    <row r="142" spans="1:11" x14ac:dyDescent="0.55000000000000004">
      <c r="A142" s="5"/>
    </row>
    <row r="143" spans="1:11" x14ac:dyDescent="0.55000000000000004">
      <c r="A143" s="5"/>
      <c r="B143" t="s">
        <v>159</v>
      </c>
    </row>
    <row r="144" spans="1:11" x14ac:dyDescent="0.55000000000000004">
      <c r="A144" s="5"/>
      <c r="C144" t="s">
        <v>251</v>
      </c>
      <c r="D144" t="s">
        <v>247</v>
      </c>
      <c r="E144" t="s">
        <v>34</v>
      </c>
      <c r="F144" t="s">
        <v>159</v>
      </c>
    </row>
    <row r="145" spans="1:30" x14ac:dyDescent="0.55000000000000004">
      <c r="A145" s="5"/>
      <c r="C145" s="30">
        <f>+I137</f>
        <v>17327100</v>
      </c>
      <c r="D145" s="4">
        <f>+G141</f>
        <v>6462948.4913350493</v>
      </c>
      <c r="E145" s="57">
        <f>+K95</f>
        <v>11536300</v>
      </c>
      <c r="F145" s="13">
        <f>+(C145-D145)/E145</f>
        <v>0.94173621600209345</v>
      </c>
    </row>
    <row r="146" spans="1:30" x14ac:dyDescent="0.55000000000000004">
      <c r="A146" s="5"/>
    </row>
    <row r="147" spans="1:30" s="14" customFormat="1" x14ac:dyDescent="0.55000000000000004"/>
    <row r="151" spans="1:30" x14ac:dyDescent="0.55000000000000004">
      <c r="Z151" s="1" t="s">
        <v>264</v>
      </c>
    </row>
    <row r="152" spans="1:30" x14ac:dyDescent="0.55000000000000004">
      <c r="Z152" t="s">
        <v>266</v>
      </c>
    </row>
    <row r="153" spans="1:30" x14ac:dyDescent="0.55000000000000004">
      <c r="O153" s="1" t="s">
        <v>264</v>
      </c>
      <c r="T153" t="s">
        <v>412</v>
      </c>
      <c r="Z153" t="s">
        <v>791</v>
      </c>
      <c r="AA153" t="s">
        <v>792</v>
      </c>
    </row>
    <row r="154" spans="1:30" x14ac:dyDescent="0.55000000000000004">
      <c r="T154" t="s">
        <v>268</v>
      </c>
    </row>
    <row r="155" spans="1:30" x14ac:dyDescent="0.55000000000000004">
      <c r="B155" t="s">
        <v>240</v>
      </c>
      <c r="O155" s="47" t="s">
        <v>413</v>
      </c>
      <c r="T155" s="31">
        <v>46118</v>
      </c>
    </row>
    <row r="156" spans="1:30" ht="28.3" x14ac:dyDescent="0.55000000000000004">
      <c r="B156" s="47" t="s">
        <v>383</v>
      </c>
      <c r="C156" s="47"/>
      <c r="D156" s="47" t="s">
        <v>384</v>
      </c>
      <c r="E156" s="47" t="s">
        <v>385</v>
      </c>
      <c r="F156" s="47" t="s">
        <v>386</v>
      </c>
      <c r="G156" s="47" t="s">
        <v>387</v>
      </c>
      <c r="H156" s="47" t="s">
        <v>37</v>
      </c>
      <c r="I156" s="47" t="s">
        <v>388</v>
      </c>
      <c r="J156" s="47" t="s">
        <v>389</v>
      </c>
      <c r="M156" s="47" t="s">
        <v>414</v>
      </c>
      <c r="O156">
        <f>+D125</f>
        <v>84.9</v>
      </c>
      <c r="Q156" t="s">
        <v>267</v>
      </c>
      <c r="S156" t="s">
        <v>271</v>
      </c>
      <c r="T156" t="s">
        <v>268</v>
      </c>
      <c r="V156" t="s">
        <v>272</v>
      </c>
      <c r="X156" t="s">
        <v>273</v>
      </c>
      <c r="Y156" t="s">
        <v>274</v>
      </c>
      <c r="Z156" t="s">
        <v>793</v>
      </c>
      <c r="AA156" t="s">
        <v>276</v>
      </c>
      <c r="AB156" t="s">
        <v>250</v>
      </c>
      <c r="AC156" t="s">
        <v>277</v>
      </c>
      <c r="AD156" t="s">
        <v>278</v>
      </c>
    </row>
    <row r="157" spans="1:30" x14ac:dyDescent="0.55000000000000004">
      <c r="B157" s="8" t="s">
        <v>785</v>
      </c>
      <c r="C157" s="60"/>
      <c r="D157" s="60"/>
      <c r="E157" s="60"/>
      <c r="F157" s="60"/>
      <c r="G157" s="60"/>
      <c r="H157" s="98">
        <v>2674</v>
      </c>
      <c r="I157" s="60"/>
      <c r="J157" s="60">
        <v>2400</v>
      </c>
      <c r="M157">
        <f>+J157*$F$145</f>
        <v>2260.1669184050243</v>
      </c>
      <c r="O157" s="4">
        <f>+H125</f>
        <v>2749.1112880000005</v>
      </c>
      <c r="Q157" s="4">
        <f>+$O$157-M157</f>
        <v>488.94436959497625</v>
      </c>
      <c r="S157">
        <v>76.790000000000006</v>
      </c>
      <c r="T157">
        <v>3516</v>
      </c>
      <c r="V157" s="4">
        <f>+T157+Q157</f>
        <v>4004.9443695949763</v>
      </c>
      <c r="X157" s="4">
        <f>+$AD$157-V157</f>
        <v>1307.9639637383575</v>
      </c>
      <c r="Y157" s="12">
        <f>+X157/V157</f>
        <v>0.32658729885694593</v>
      </c>
      <c r="Z157">
        <v>4500</v>
      </c>
      <c r="AA157">
        <v>108</v>
      </c>
      <c r="AB157">
        <f>+Z157/(AA157*0.3025)</f>
        <v>137.74104683195591</v>
      </c>
      <c r="AC157">
        <f>+AB157*1.1</f>
        <v>151.51515151515153</v>
      </c>
      <c r="AD157" s="3">
        <f>+AC157*E125*0.3025</f>
        <v>5312.9083333333338</v>
      </c>
    </row>
    <row r="158" spans="1:30" x14ac:dyDescent="0.55000000000000004">
      <c r="B158" s="60" t="s">
        <v>787</v>
      </c>
      <c r="C158" s="60"/>
      <c r="D158" s="60"/>
      <c r="E158" s="60"/>
      <c r="F158" s="60"/>
      <c r="G158" s="60"/>
      <c r="H158" s="60">
        <v>1750</v>
      </c>
      <c r="I158" s="60"/>
      <c r="J158" s="60">
        <v>2700</v>
      </c>
      <c r="M158">
        <f>+J158*$F$145</f>
        <v>2542.6877832056525</v>
      </c>
      <c r="Q158" s="4">
        <f>+$O$157-M158</f>
        <v>206.42350479434799</v>
      </c>
      <c r="S158">
        <v>84.43</v>
      </c>
      <c r="T158">
        <v>3916</v>
      </c>
      <c r="V158" s="4">
        <f>+T158+Q158</f>
        <v>4122.4235047943475</v>
      </c>
      <c r="X158" s="4">
        <f>+$AD$157-V158</f>
        <v>1190.4848285389862</v>
      </c>
    </row>
    <row r="159" spans="1:30" x14ac:dyDescent="0.55000000000000004">
      <c r="H159">
        <f>+H157+H158</f>
        <v>4424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DB_(0527)</vt:lpstr>
      <vt:lpstr>최초</vt:lpstr>
      <vt:lpstr>1_압구정3</vt:lpstr>
      <vt:lpstr>2_신반포2</vt:lpstr>
      <vt:lpstr>3_목동6</vt:lpstr>
      <vt:lpstr>4_여의도시범</vt:lpstr>
      <vt:lpstr>5_대치은마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재민 이</dc:creator>
  <cp:lastModifiedBy>재민 이</cp:lastModifiedBy>
  <dcterms:created xsi:type="dcterms:W3CDTF">2026-05-10T06:24:50Z</dcterms:created>
  <dcterms:modified xsi:type="dcterms:W3CDTF">2026-05-27T23:05:08Z</dcterms:modified>
</cp:coreProperties>
</file>